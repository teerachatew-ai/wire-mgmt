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59A1F709-795E-4B85-8B96-96FDD7C6609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วิธีการกรอก Guidelines " sheetId="8" r:id="rId1"/>
    <sheet name="สำหรับกรอกข้อมูล Form " sheetId="9" r:id="rId2"/>
    <sheet name="เดือน Month" sheetId="5" state="hidden" r:id="rId3"/>
  </sheets>
  <definedNames>
    <definedName name="_xlnm.Print_Area" localSheetId="0">'วิธีการกรอก Guidelines '!$A$1:$L$63</definedName>
    <definedName name="_xlnm.Print_Area" localSheetId="1">'สำหรับกรอกข้อมูล Form '!$A$1:$L$63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9" l="1"/>
  <c r="J28" i="9"/>
  <c r="I27" i="9"/>
  <c r="I28" i="9"/>
  <c r="I29" i="9"/>
  <c r="J29" i="9" s="1"/>
  <c r="F43" i="8"/>
  <c r="F43" i="9"/>
  <c r="I27" i="8"/>
  <c r="J27" i="8" s="1"/>
  <c r="I28" i="8"/>
  <c r="J28" i="8" s="1"/>
  <c r="I42" i="9"/>
  <c r="J42" i="9" s="1"/>
  <c r="B42" i="9"/>
  <c r="I41" i="9"/>
  <c r="J41" i="9" s="1"/>
  <c r="B41" i="9"/>
  <c r="I40" i="9"/>
  <c r="J40" i="9" s="1"/>
  <c r="B40" i="9"/>
  <c r="I39" i="9"/>
  <c r="J39" i="9" s="1"/>
  <c r="B39" i="9"/>
  <c r="I38" i="9"/>
  <c r="J38" i="9" s="1"/>
  <c r="B38" i="9"/>
  <c r="I37" i="9"/>
  <c r="J37" i="9" s="1"/>
  <c r="B37" i="9"/>
  <c r="I36" i="9"/>
  <c r="J36" i="9" s="1"/>
  <c r="B36" i="9"/>
  <c r="I35" i="9"/>
  <c r="J35" i="9" s="1"/>
  <c r="B35" i="9"/>
  <c r="I34" i="9"/>
  <c r="J34" i="9" s="1"/>
  <c r="B34" i="9"/>
  <c r="I33" i="9"/>
  <c r="J33" i="9" s="1"/>
  <c r="B33" i="9"/>
  <c r="I32" i="9"/>
  <c r="J32" i="9" s="1"/>
  <c r="B32" i="9"/>
  <c r="I31" i="9"/>
  <c r="J31" i="9" s="1"/>
  <c r="B31" i="9"/>
  <c r="I30" i="9"/>
  <c r="J30" i="9" s="1"/>
  <c r="B30" i="9"/>
  <c r="B29" i="9"/>
  <c r="B28" i="9"/>
  <c r="B27" i="9"/>
  <c r="I26" i="9"/>
  <c r="J26" i="9" s="1"/>
  <c r="B26" i="9"/>
  <c r="I25" i="9"/>
  <c r="J25" i="9" s="1"/>
  <c r="B25" i="9"/>
  <c r="I24" i="9"/>
  <c r="J24" i="9" s="1"/>
  <c r="B24" i="9"/>
  <c r="I23" i="9"/>
  <c r="J23" i="9" s="1"/>
  <c r="B23" i="9"/>
  <c r="I22" i="9"/>
  <c r="J22" i="9" s="1"/>
  <c r="B22" i="9"/>
  <c r="I21" i="9"/>
  <c r="J21" i="9" s="1"/>
  <c r="B21" i="9"/>
  <c r="I20" i="9"/>
  <c r="J20" i="9" s="1"/>
  <c r="B20" i="9"/>
  <c r="I19" i="9"/>
  <c r="J19" i="9" s="1"/>
  <c r="B19" i="9"/>
  <c r="I18" i="9"/>
  <c r="J18" i="9" s="1"/>
  <c r="B18" i="9"/>
  <c r="I17" i="9"/>
  <c r="B17" i="9"/>
  <c r="I42" i="8"/>
  <c r="J42" i="8" s="1"/>
  <c r="B42" i="8"/>
  <c r="I41" i="8"/>
  <c r="J41" i="8" s="1"/>
  <c r="B41" i="8"/>
  <c r="I40" i="8"/>
  <c r="J40" i="8" s="1"/>
  <c r="B40" i="8"/>
  <c r="I39" i="8"/>
  <c r="J39" i="8" s="1"/>
  <c r="B39" i="8"/>
  <c r="I38" i="8"/>
  <c r="J38" i="8" s="1"/>
  <c r="B38" i="8"/>
  <c r="I37" i="8"/>
  <c r="J37" i="8" s="1"/>
  <c r="B37" i="8"/>
  <c r="I36" i="8"/>
  <c r="J36" i="8" s="1"/>
  <c r="B36" i="8"/>
  <c r="I35" i="8"/>
  <c r="J35" i="8" s="1"/>
  <c r="B35" i="8"/>
  <c r="I34" i="8"/>
  <c r="J34" i="8" s="1"/>
  <c r="B34" i="8"/>
  <c r="I33" i="8"/>
  <c r="J33" i="8" s="1"/>
  <c r="B33" i="8"/>
  <c r="I32" i="8"/>
  <c r="J32" i="8" s="1"/>
  <c r="B32" i="8"/>
  <c r="I31" i="8"/>
  <c r="J31" i="8" s="1"/>
  <c r="B31" i="8"/>
  <c r="I30" i="8"/>
  <c r="J30" i="8" s="1"/>
  <c r="B30" i="8"/>
  <c r="I29" i="8"/>
  <c r="J29" i="8" s="1"/>
  <c r="B29" i="8"/>
  <c r="B28" i="8"/>
  <c r="B27" i="8"/>
  <c r="I26" i="8"/>
  <c r="J26" i="8" s="1"/>
  <c r="B26" i="8"/>
  <c r="I25" i="8"/>
  <c r="J25" i="8" s="1"/>
  <c r="B25" i="8"/>
  <c r="I24" i="8"/>
  <c r="J24" i="8" s="1"/>
  <c r="B24" i="8"/>
  <c r="I23" i="8"/>
  <c r="J23" i="8" s="1"/>
  <c r="B23" i="8"/>
  <c r="I22" i="8"/>
  <c r="J22" i="8" s="1"/>
  <c r="B22" i="8"/>
  <c r="I21" i="8"/>
  <c r="J21" i="8" s="1"/>
  <c r="B21" i="8"/>
  <c r="I20" i="8"/>
  <c r="J20" i="8" s="1"/>
  <c r="B20" i="8"/>
  <c r="I19" i="8"/>
  <c r="J19" i="8" s="1"/>
  <c r="B19" i="8"/>
  <c r="I18" i="8"/>
  <c r="J18" i="8" s="1"/>
  <c r="B18" i="8"/>
  <c r="I17" i="8"/>
  <c r="B17" i="8"/>
  <c r="I43" i="8" l="1"/>
  <c r="J17" i="9"/>
  <c r="J43" i="9" s="1"/>
  <c r="I43" i="9"/>
  <c r="J17" i="8"/>
  <c r="J43" i="8" s="1"/>
  <c r="J45" i="9" l="1"/>
  <c r="J45" i="8"/>
</calcChain>
</file>

<file path=xl/sharedStrings.xml><?xml version="1.0" encoding="utf-8"?>
<sst xmlns="http://schemas.openxmlformats.org/spreadsheetml/2006/main" count="179" uniqueCount="78">
  <si>
    <t>ใบวางบิล</t>
  </si>
  <si>
    <t>Billing Note</t>
  </si>
  <si>
    <t>ลำดับที่</t>
  </si>
  <si>
    <t>ยอดหัก ณ ที่จ่าย</t>
  </si>
  <si>
    <t>Vender Name</t>
  </si>
  <si>
    <t>วางบิลประจำเดือน</t>
  </si>
  <si>
    <t>ปี</t>
  </si>
  <si>
    <t>No.</t>
  </si>
  <si>
    <t>Value</t>
  </si>
  <si>
    <t>จำนวนเป็นเงิน</t>
  </si>
  <si>
    <t>รวมเป็นเงินทั้งสิ้น</t>
  </si>
  <si>
    <t>Amount</t>
  </si>
  <si>
    <t>WHT Amount</t>
  </si>
  <si>
    <t>WHT Rate</t>
  </si>
  <si>
    <t>Grand Total</t>
  </si>
  <si>
    <t>รหัสซัพพลายเออร์</t>
  </si>
  <si>
    <t>Vender Code</t>
  </si>
  <si>
    <t>Total</t>
  </si>
  <si>
    <t>Month</t>
  </si>
  <si>
    <t>Year</t>
  </si>
  <si>
    <t>มกราคม January</t>
  </si>
  <si>
    <t>มีนาคม March</t>
  </si>
  <si>
    <t xml:space="preserve">กุมภาพันธ์ February </t>
  </si>
  <si>
    <t>เมษายน April</t>
  </si>
  <si>
    <t>พฤษภาคม May</t>
  </si>
  <si>
    <t xml:space="preserve">มิถุนายน June </t>
  </si>
  <si>
    <t>กรกฎาคม July</t>
  </si>
  <si>
    <t>สิงหาคม August</t>
  </si>
  <si>
    <t>กันยายน September</t>
  </si>
  <si>
    <t>พฤศจิกายน November</t>
  </si>
  <si>
    <t>ธันวาคม December</t>
  </si>
  <si>
    <t>ชื่อบริษัทซัพพลายเออร์</t>
  </si>
  <si>
    <t>ที่อยู่ซัพพลายเออร์</t>
  </si>
  <si>
    <t>Vender Address</t>
  </si>
  <si>
    <t>เบอร์โทรติดต่อ</t>
  </si>
  <si>
    <t>Tel.</t>
  </si>
  <si>
    <t>Contact Person</t>
  </si>
  <si>
    <t>ยอดเงินสุทธิ</t>
  </si>
  <si>
    <t>Net Total</t>
  </si>
  <si>
    <t>อัตราภาษีหัก ณ ที่จ่าย</t>
  </si>
  <si>
    <t>บาท</t>
  </si>
  <si>
    <t>THB</t>
  </si>
  <si>
    <t>ผู้วางบิล</t>
  </si>
  <si>
    <t>Sender</t>
  </si>
  <si>
    <t>Date</t>
  </si>
  <si>
    <t>วันที่</t>
  </si>
  <si>
    <t>ผู้รับวางบิล</t>
  </si>
  <si>
    <t>Receiver</t>
  </si>
  <si>
    <t>Billing Note for</t>
  </si>
  <si>
    <t>The supplier must issue a credit note and fill in the last line of the billing note form every time.</t>
  </si>
  <si>
    <t xml:space="preserve">In the event that both parties agree to a product return or deduct money. </t>
  </si>
  <si>
    <t>รายละเอียดเพิ่มเติม More Details</t>
  </si>
  <si>
    <t>ตุลาคม October</t>
  </si>
  <si>
    <r>
      <rPr>
        <sz val="14"/>
        <color theme="1"/>
        <rFont val="Angsana New"/>
        <family val="1"/>
      </rPr>
      <t xml:space="preserve">หมายเหตุ </t>
    </r>
    <r>
      <rPr>
        <sz val="14"/>
        <color theme="1"/>
        <rFont val="Calibri"/>
        <family val="2"/>
        <scheme val="minor"/>
      </rPr>
      <t>Remark :</t>
    </r>
  </si>
  <si>
    <t>กรุณากรอกข้อมูลเป็นภาษาอังกฤษ
Please fill in the information in English.</t>
  </si>
  <si>
    <t>กรุณากรอกข้อมูลเป็นภาษาอังกฤษ   Please fill in the information in English.</t>
  </si>
  <si>
    <t>PO No.</t>
  </si>
  <si>
    <t>หมายเลข PO</t>
  </si>
  <si>
    <t xml:space="preserve">ชื่อผู้ติดต่อ </t>
  </si>
  <si>
    <t>Part Number</t>
  </si>
  <si>
    <t>หมายเลขวัสดุ</t>
  </si>
  <si>
    <t>ชื่อสินค้า/คำอธิบาย</t>
  </si>
  <si>
    <t>Description</t>
  </si>
  <si>
    <t>วันที่จัดส่ง</t>
  </si>
  <si>
    <t>Delivery Date</t>
  </si>
  <si>
    <t>จำนวนจัดส่ง</t>
  </si>
  <si>
    <t>Delivery Quantity</t>
  </si>
  <si>
    <t>1.ในกรณีที่ทั้ง 2 ฝ่ายตกลงกันว่าจะมีการคืนสินค้าหรือหักเงิน ทางซัพพลายเออร์จะต้องออกใบลดหนี้ และกรอกในตารางบรรทัดสุดท้ายทุกครั้ง</t>
  </si>
  <si>
    <t>EA</t>
  </si>
  <si>
    <t>Khok Muang Subdistrict Community Enterprise for Quality of Life Development</t>
  </si>
  <si>
    <t>5 Moo.8  Khokmuang , Phachi District, Phra Nakhon Si Ayutthaya 13140</t>
  </si>
  <si>
    <t>Soonthree  Maipradit</t>
  </si>
  <si>
    <t>9 Core Wire</t>
  </si>
  <si>
    <t xml:space="preserve">MA020-676_A </t>
  </si>
  <si>
    <t>MA020-633_A</t>
  </si>
  <si>
    <t>16 Core Wire</t>
  </si>
  <si>
    <t>MA020-676_A</t>
  </si>
  <si>
    <t>082-4915398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</si>
</sst>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_);_(* \(#,##0.00\);_(* &quot;-&quot;????_);_(@_)"/>
    <numFmt numFmtId="165" formatCode="_(* #,##0.0000_);_(* \(#,##0.0000\);_(* &quot;-&quot;??_);_(@_)"/>
    <numFmt numFmtId="166" formatCode="0\ &quot;EA&quot;"/>
    <numFmt numFmtId="167" formatCode="[$-409]dd\-mmm\-yy;@"/>
    <numFmt numFmtId="168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Angsana New"/>
      <family val="1"/>
    </font>
    <font>
      <sz val="14"/>
      <color theme="1"/>
      <name val="Angsana New"/>
      <family val="1"/>
    </font>
    <font>
      <sz val="11"/>
      <color theme="1"/>
      <name val="Angsana New"/>
      <family val="1"/>
    </font>
    <font>
      <sz val="12"/>
      <color theme="1"/>
      <name val="Angsana New"/>
      <family val="1"/>
    </font>
    <font>
      <b/>
      <sz val="16"/>
      <color theme="1"/>
      <name val="Angsana New"/>
      <family val="1"/>
    </font>
    <font>
      <sz val="14"/>
      <color theme="1"/>
      <name val="Calibri"/>
      <family val="1"/>
      <scheme val="minor"/>
    </font>
    <font>
      <sz val="20"/>
      <color theme="1"/>
      <name val="Angsana New"/>
      <family val="1"/>
    </font>
    <font>
      <sz val="14"/>
      <color rgb="FFFF0000"/>
      <name val="Angsana New"/>
      <family val="1"/>
    </font>
    <font>
      <b/>
      <sz val="26"/>
      <color theme="1"/>
      <name val="Angsana New"/>
      <family val="1"/>
    </font>
    <font>
      <sz val="14"/>
      <name val="Angsana New"/>
      <family val="1"/>
    </font>
    <font>
      <sz val="14"/>
      <color theme="1"/>
      <name val="Arial"/>
      <family val="2"/>
    </font>
    <font>
      <b/>
      <sz val="16"/>
      <color theme="3"/>
      <name val="Brush Script MT"/>
      <family val="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4" fillId="0" borderId="0" xfId="0" applyFont="1"/>
    <xf numFmtId="0" fontId="0" fillId="0" borderId="0" xfId="0" applyProtection="1">
      <protection locked="0"/>
    </xf>
    <xf numFmtId="0" fontId="3" fillId="0" borderId="6" xfId="0" applyFont="1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6" xfId="0" applyBorder="1" applyProtection="1">
      <protection locked="0"/>
    </xf>
    <xf numFmtId="0" fontId="2" fillId="0" borderId="8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9" xfId="0" applyBorder="1" applyProtection="1">
      <protection locked="0"/>
    </xf>
    <xf numFmtId="0" fontId="12" fillId="0" borderId="0" xfId="0" applyFont="1" applyProtection="1"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3" fillId="0" borderId="0" xfId="0" applyFont="1"/>
    <xf numFmtId="0" fontId="0" fillId="0" borderId="15" xfId="0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13" xfId="1" applyNumberFormat="1" applyFont="1" applyBorder="1" applyProtection="1">
      <protection hidden="1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 applyProtection="1">
      <alignment horizontal="center" vertical="center"/>
      <protection locked="0" hidden="1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15" xfId="0" applyBorder="1" applyProtection="1"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43" fontId="0" fillId="0" borderId="1" xfId="1" applyFont="1" applyBorder="1" applyAlignment="1" applyProtection="1">
      <alignment horizontal="center"/>
      <protection hidden="1"/>
    </xf>
    <xf numFmtId="43" fontId="0" fillId="0" borderId="12" xfId="1" applyFont="1" applyBorder="1" applyProtection="1">
      <protection hidden="1"/>
    </xf>
    <xf numFmtId="43" fontId="0" fillId="0" borderId="1" xfId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left" indent="4"/>
      <protection locked="0"/>
    </xf>
    <xf numFmtId="0" fontId="0" fillId="0" borderId="0" xfId="0" applyAlignment="1" applyProtection="1">
      <alignment horizontal="left" indent="4"/>
      <protection locked="0"/>
    </xf>
    <xf numFmtId="0" fontId="3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0" fontId="13" fillId="0" borderId="0" xfId="0" applyFo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0" fillId="2" borderId="0" xfId="0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43" fontId="0" fillId="0" borderId="10" xfId="1" applyFont="1" applyBorder="1" applyAlignment="1" applyProtection="1">
      <alignment horizontal="center"/>
      <protection locked="0"/>
    </xf>
    <xf numFmtId="43" fontId="0" fillId="0" borderId="10" xfId="1" applyFont="1" applyBorder="1" applyAlignment="1" applyProtection="1">
      <alignment horizontal="center"/>
      <protection hidden="1"/>
    </xf>
    <xf numFmtId="164" fontId="0" fillId="0" borderId="10" xfId="1" applyNumberFormat="1" applyFont="1" applyBorder="1" applyAlignment="1" applyProtection="1">
      <alignment horizontal="center"/>
      <protection hidden="1"/>
    </xf>
    <xf numFmtId="9" fontId="0" fillId="0" borderId="10" xfId="2" applyFont="1" applyBorder="1" applyAlignment="1" applyProtection="1">
      <alignment horizontal="center" vertical="center"/>
      <protection locked="0" hidden="1"/>
    </xf>
    <xf numFmtId="43" fontId="0" fillId="0" borderId="11" xfId="1" applyFont="1" applyBorder="1" applyAlignment="1" applyProtection="1">
      <alignment horizontal="center"/>
      <protection locked="0"/>
    </xf>
    <xf numFmtId="43" fontId="0" fillId="0" borderId="11" xfId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hidden="1"/>
    </xf>
    <xf numFmtId="9" fontId="0" fillId="0" borderId="11" xfId="2" applyFont="1" applyBorder="1" applyAlignment="1" applyProtection="1">
      <alignment horizontal="center" vertical="center"/>
      <protection locked="0" hidden="1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43" fontId="0" fillId="0" borderId="19" xfId="1" applyFont="1" applyBorder="1" applyAlignment="1" applyProtection="1">
      <alignment horizontal="center"/>
      <protection locked="0"/>
    </xf>
    <xf numFmtId="43" fontId="0" fillId="0" borderId="19" xfId="1" applyFont="1" applyBorder="1" applyAlignment="1" applyProtection="1">
      <alignment horizontal="center"/>
      <protection hidden="1"/>
    </xf>
    <xf numFmtId="164" fontId="0" fillId="0" borderId="19" xfId="1" applyNumberFormat="1" applyFont="1" applyBorder="1" applyAlignment="1" applyProtection="1">
      <alignment horizontal="center"/>
      <protection hidden="1"/>
    </xf>
    <xf numFmtId="9" fontId="0" fillId="0" borderId="20" xfId="2" applyFont="1" applyBorder="1" applyAlignment="1" applyProtection="1">
      <alignment horizontal="center" vertical="center"/>
      <protection locked="0" hidden="1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43" fontId="0" fillId="0" borderId="22" xfId="1" applyFont="1" applyBorder="1" applyAlignment="1" applyProtection="1">
      <alignment horizontal="center"/>
      <protection locked="0"/>
    </xf>
    <xf numFmtId="43" fontId="0" fillId="0" borderId="22" xfId="1" applyFont="1" applyBorder="1" applyAlignment="1" applyProtection="1">
      <alignment horizontal="center"/>
      <protection hidden="1"/>
    </xf>
    <xf numFmtId="164" fontId="0" fillId="0" borderId="22" xfId="1" applyNumberFormat="1" applyFont="1" applyBorder="1" applyAlignment="1" applyProtection="1">
      <alignment horizontal="center"/>
      <protection hidden="1"/>
    </xf>
    <xf numFmtId="9" fontId="0" fillId="0" borderId="23" xfId="2" applyFont="1" applyBorder="1" applyAlignment="1" applyProtection="1">
      <alignment horizontal="center" vertical="center"/>
      <protection locked="0" hidden="1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9" fillId="0" borderId="28" xfId="0" applyFont="1" applyBorder="1" applyAlignment="1" applyProtection="1">
      <alignment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0" fillId="0" borderId="28" xfId="0" applyBorder="1" applyProtection="1">
      <protection locked="0"/>
    </xf>
    <xf numFmtId="0" fontId="12" fillId="0" borderId="27" xfId="0" applyFont="1" applyBorder="1" applyProtection="1">
      <protection locked="0"/>
    </xf>
    <xf numFmtId="0" fontId="12" fillId="0" borderId="28" xfId="0" applyFont="1" applyBorder="1" applyProtection="1">
      <protection locked="0"/>
    </xf>
    <xf numFmtId="0" fontId="12" fillId="0" borderId="27" xfId="0" applyFont="1" applyBorder="1" applyAlignment="1" applyProtection="1">
      <alignment vertical="center"/>
      <protection locked="0"/>
    </xf>
    <xf numFmtId="0" fontId="12" fillId="0" borderId="28" xfId="0" applyFont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11" fillId="0" borderId="28" xfId="0" applyFont="1" applyBorder="1" applyAlignment="1" applyProtection="1">
      <alignment vertical="center"/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18" fillId="0" borderId="28" xfId="0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65" fontId="0" fillId="0" borderId="1" xfId="1" applyNumberFormat="1" applyFont="1" applyBorder="1" applyAlignment="1" applyProtection="1">
      <alignment horizontal="center"/>
      <protection hidden="1"/>
    </xf>
    <xf numFmtId="165" fontId="0" fillId="0" borderId="10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Protection="1">
      <protection hidden="1"/>
    </xf>
    <xf numFmtId="165" fontId="0" fillId="0" borderId="13" xfId="1" applyNumberFormat="1" applyFont="1" applyBorder="1" applyProtection="1">
      <protection hidden="1"/>
    </xf>
    <xf numFmtId="166" fontId="0" fillId="0" borderId="1" xfId="0" applyNumberFormat="1" applyBorder="1" applyAlignment="1" applyProtection="1">
      <alignment horizontal="center" vertical="center"/>
      <protection locked="0"/>
    </xf>
    <xf numFmtId="166" fontId="0" fillId="0" borderId="10" xfId="0" applyNumberFormat="1" applyBorder="1" applyAlignment="1" applyProtection="1">
      <alignment horizontal="center" vertical="center"/>
      <protection locked="0"/>
    </xf>
    <xf numFmtId="166" fontId="0" fillId="0" borderId="32" xfId="0" applyNumberFormat="1" applyBorder="1" applyAlignment="1" applyProtection="1">
      <alignment horizontal="center" vertical="center"/>
      <protection locked="0"/>
    </xf>
    <xf numFmtId="166" fontId="0" fillId="0" borderId="11" xfId="0" applyNumberFormat="1" applyBorder="1" applyAlignment="1" applyProtection="1">
      <alignment horizontal="center" vertical="center"/>
      <protection locked="0"/>
    </xf>
    <xf numFmtId="167" fontId="0" fillId="0" borderId="1" xfId="0" applyNumberFormat="1" applyBorder="1" applyAlignment="1" applyProtection="1">
      <alignment horizontal="center" vertical="center"/>
      <protection locked="0"/>
    </xf>
    <xf numFmtId="167" fontId="0" fillId="0" borderId="10" xfId="0" applyNumberFormat="1" applyBorder="1" applyAlignment="1" applyProtection="1">
      <alignment horizontal="center" vertical="center"/>
      <protection locked="0"/>
    </xf>
    <xf numFmtId="167" fontId="0" fillId="0" borderId="32" xfId="0" applyNumberFormat="1" applyBorder="1" applyAlignment="1" applyProtection="1">
      <alignment horizontal="center" vertical="center"/>
      <protection locked="0"/>
    </xf>
    <xf numFmtId="167" fontId="0" fillId="0" borderId="11" xfId="0" applyNumberFormat="1" applyBorder="1" applyAlignment="1" applyProtection="1">
      <alignment horizontal="center" vertical="center"/>
      <protection locked="0"/>
    </xf>
    <xf numFmtId="168" fontId="0" fillId="0" borderId="15" xfId="1" applyNumberFormat="1" applyFont="1" applyBorder="1" applyAlignment="1" applyProtection="1">
      <alignment horizontal="center" vertical="center"/>
      <protection hidden="1"/>
    </xf>
    <xf numFmtId="165" fontId="0" fillId="0" borderId="33" xfId="1" applyNumberFormat="1" applyFont="1" applyBorder="1" applyAlignment="1" applyProtection="1">
      <alignment horizontal="center"/>
      <protection hidden="1"/>
    </xf>
    <xf numFmtId="0" fontId="15" fillId="0" borderId="3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vertical="center"/>
      <protection locked="0"/>
    </xf>
    <xf numFmtId="0" fontId="19" fillId="0" borderId="3" xfId="0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5" xfId="0" applyFont="1" applyBorder="1" applyAlignment="1" applyProtection="1">
      <alignment vertical="center"/>
      <protection locked="0"/>
    </xf>
    <xf numFmtId="0" fontId="19" fillId="0" borderId="8" xfId="0" applyFont="1" applyBorder="1" applyAlignment="1" applyProtection="1">
      <alignment vertical="center"/>
      <protection locked="0"/>
    </xf>
    <xf numFmtId="0" fontId="19" fillId="0" borderId="2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0" fontId="11" fillId="0" borderId="6" xfId="0" applyFont="1" applyBorder="1" applyAlignment="1" applyProtection="1">
      <alignment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3" fontId="7" fillId="0" borderId="0" xfId="1" applyFont="1" applyBorder="1" applyAlignment="1" applyProtection="1">
      <alignment horizontal="center" vertical="center"/>
      <protection hidden="1"/>
    </xf>
    <xf numFmtId="43" fontId="7" fillId="0" borderId="17" xfId="1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14" fontId="20" fillId="0" borderId="4" xfId="0" applyNumberFormat="1" applyFont="1" applyBorder="1" applyAlignment="1" applyProtection="1">
      <alignment horizontal="center" vertical="center"/>
      <protection locked="0"/>
    </xf>
    <xf numFmtId="14" fontId="20" fillId="0" borderId="2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9" fillId="0" borderId="3" xfId="0" applyFont="1" applyBorder="1" applyAlignment="1" applyProtection="1">
      <alignment horizontal="left" vertical="center" wrapText="1"/>
      <protection locked="0"/>
    </xf>
    <xf numFmtId="0" fontId="19" fillId="0" borderId="4" xfId="0" applyFont="1" applyBorder="1" applyAlignment="1" applyProtection="1">
      <alignment horizontal="left" vertical="center" wrapText="1"/>
      <protection locked="0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7" fillId="0" borderId="3" xfId="0" applyFont="1" applyBorder="1" applyAlignment="1" applyProtection="1">
      <alignment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17" fillId="0" borderId="8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left" vertical="center" wrapText="1"/>
      <protection locked="0"/>
    </xf>
    <xf numFmtId="0" fontId="17" fillId="0" borderId="4" xfId="0" applyFont="1" applyBorder="1" applyAlignment="1" applyProtection="1">
      <alignment horizontal="left" vertical="center"/>
      <protection locked="0"/>
    </xf>
    <xf numFmtId="0" fontId="17" fillId="0" borderId="5" xfId="0" applyFont="1" applyBorder="1" applyAlignment="1" applyProtection="1">
      <alignment horizontal="left" vertical="center"/>
      <protection locked="0"/>
    </xf>
    <xf numFmtId="0" fontId="17" fillId="0" borderId="8" xfId="0" applyFont="1" applyBorder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7" fillId="0" borderId="9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14" fontId="3" fillId="0" borderId="4" xfId="0" applyNumberFormat="1" applyFont="1" applyBorder="1" applyAlignment="1" applyProtection="1">
      <alignment horizontal="center" vertical="center"/>
      <protection locked="0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0" fontId="17" fillId="0" borderId="4" xfId="0" applyFont="1" applyBorder="1" applyAlignment="1" applyProtection="1">
      <alignment horizontal="left" vertical="center" wrapText="1"/>
      <protection locked="0"/>
    </xf>
    <xf numFmtId="0" fontId="17" fillId="0" borderId="5" xfId="0" applyFont="1" applyBorder="1" applyAlignment="1" applyProtection="1">
      <alignment horizontal="left" vertical="center" wrapText="1"/>
      <protection locked="0"/>
    </xf>
    <xf numFmtId="0" fontId="17" fillId="0" borderId="8" xfId="0" applyFont="1" applyBorder="1" applyAlignment="1" applyProtection="1">
      <alignment horizontal="left" vertical="center" wrapText="1"/>
      <protection locked="0"/>
    </xf>
    <xf numFmtId="0" fontId="17" fillId="0" borderId="2" xfId="0" applyFont="1" applyBorder="1" applyAlignment="1" applyProtection="1">
      <alignment horizontal="left" vertical="center" wrapText="1"/>
      <protection locked="0"/>
    </xf>
    <xf numFmtId="0" fontId="17" fillId="0" borderId="9" xfId="0" applyFont="1" applyBorder="1" applyAlignment="1" applyProtection="1">
      <alignment horizontal="left" vertical="center"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pixabay.com/en/cursor-hand-mouse-click-forefinger-148819/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106948</xdr:colOff>
      <xdr:row>1</xdr:row>
      <xdr:rowOff>91574</xdr:rowOff>
    </xdr:from>
    <xdr:to>
      <xdr:col>3</xdr:col>
      <xdr:colOff>353999</xdr:colOff>
      <xdr:row>2</xdr:row>
      <xdr:rowOff>256436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CD89A-F912-431D-908E-8C2E3A1293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856" b="39044"/>
        <a:stretch/>
      </xdr:blipFill>
      <xdr:spPr>
        <a:xfrm>
          <a:off x="265698" y="91574"/>
          <a:ext cx="1777401" cy="641111"/>
        </a:xfrm>
        <a:prstGeom prst="rect">
          <a:avLst/>
        </a:prstGeom>
      </xdr:spPr>
    </xdr:pic>
    <xdr:clientData/>
  </xdr:twoCellAnchor>
  <xdr:twoCellAnchor>
    <xdr:from>
      <xdr:col>4</xdr:col>
      <xdr:colOff>702236</xdr:colOff>
      <xdr:row>19</xdr:row>
      <xdr:rowOff>99358</xdr:rowOff>
    </xdr:from>
    <xdr:to>
      <xdr:col>6</xdr:col>
      <xdr:colOff>805703</xdr:colOff>
      <xdr:row>24</xdr:row>
      <xdr:rowOff>193861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C72F265A-44EC-4C07-8F8D-05C246EB5A96}"/>
            </a:ext>
          </a:extLst>
        </xdr:cNvPr>
        <xdr:cNvSpPr/>
      </xdr:nvSpPr>
      <xdr:spPr>
        <a:xfrm>
          <a:off x="3528335" y="4802545"/>
          <a:ext cx="3180775" cy="1315657"/>
        </a:xfrm>
        <a:prstGeom prst="wedgeRectCallout">
          <a:avLst>
            <a:gd name="adj1" fmla="val -8694"/>
            <a:gd name="adj2" fmla="val 9779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 b="1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ตัวอย่างการกรอก</a:t>
          </a:r>
        </a:p>
        <a:p>
          <a:pPr algn="l"/>
          <a:r>
            <a:rPr lang="th-TH" sz="110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- หากไม่มีการลดหนี้สามารถใส่เลขได้เลย</a:t>
          </a:r>
          <a:r>
            <a:rPr lang="th-TH" sz="1100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</a:p>
        <a:p>
          <a:pPr algn="l"/>
          <a:r>
            <a:rPr lang="th-TH" sz="1100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-หากมีการลดหนี้ให้ใส่เครื่องหมายลบ (-) ตามด้วยตัวเลข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Example of filling out</a:t>
          </a:r>
        </a:p>
        <a:p>
          <a:pPr algn="l"/>
          <a:r>
            <a:rPr lang="en-US" sz="120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- If there is no debt reduction, you can enter the number immediately.</a:t>
          </a:r>
        </a:p>
        <a:p>
          <a:pPr algn="l"/>
          <a:r>
            <a:rPr lang="en-US" sz="120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-If there is a debt reduction, enter a minus sign (-) followed by a number.</a:t>
          </a:r>
        </a:p>
      </xdr:txBody>
    </xdr:sp>
    <xdr:clientData/>
  </xdr:twoCellAnchor>
  <xdr:twoCellAnchor>
    <xdr:from>
      <xdr:col>8</xdr:col>
      <xdr:colOff>962584</xdr:colOff>
      <xdr:row>21</xdr:row>
      <xdr:rowOff>237253</xdr:rowOff>
    </xdr:from>
    <xdr:to>
      <xdr:col>10</xdr:col>
      <xdr:colOff>1015625</xdr:colOff>
      <xdr:row>24</xdr:row>
      <xdr:rowOff>90713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09A07DD2-8072-4060-A662-DD17EE13F3A6}"/>
            </a:ext>
          </a:extLst>
        </xdr:cNvPr>
        <xdr:cNvSpPr/>
      </xdr:nvSpPr>
      <xdr:spPr>
        <a:xfrm>
          <a:off x="8980331" y="5428901"/>
          <a:ext cx="2320898" cy="586153"/>
        </a:xfrm>
        <a:prstGeom prst="wedgeRectCallout">
          <a:avLst>
            <a:gd name="adj1" fmla="val 27831"/>
            <a:gd name="adj2" fmla="val 11670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 b="1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กรอก % ที่จะหัก ณ ที่จ่าย</a:t>
          </a:r>
          <a:r>
            <a:rPr lang="en-US" sz="1100" b="1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th-TH" sz="1100" b="1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ได้เลย</a:t>
          </a:r>
        </a:p>
        <a:p>
          <a:pPr algn="ctr"/>
          <a:r>
            <a:rPr lang="en-US" sz="1400" b="1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fill %  for WHT</a:t>
          </a:r>
          <a:endParaRPr lang="th-TH" sz="1400" b="1" baseline="0">
            <a:solidFill>
              <a:sysClr val="windowText" lastClr="00000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endParaRPr lang="th-TH" sz="1100" baseline="0">
            <a:solidFill>
              <a:sysClr val="windowText" lastClr="00000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 editAs="oneCell">
    <xdr:from>
      <xdr:col>6</xdr:col>
      <xdr:colOff>859118</xdr:colOff>
      <xdr:row>4</xdr:row>
      <xdr:rowOff>268942</xdr:rowOff>
    </xdr:from>
    <xdr:to>
      <xdr:col>6</xdr:col>
      <xdr:colOff>1109433</xdr:colOff>
      <xdr:row>6</xdr:row>
      <xdr:rowOff>138366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BEFAC2-2505-49C9-849B-0D1BC3A17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6760883" y="1232648"/>
          <a:ext cx="250315" cy="3923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106948</xdr:colOff>
      <xdr:row>1</xdr:row>
      <xdr:rowOff>91574</xdr:rowOff>
    </xdr:from>
    <xdr:to>
      <xdr:col>3</xdr:col>
      <xdr:colOff>360349</xdr:colOff>
      <xdr:row>2</xdr:row>
      <xdr:rowOff>262786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A7973-CFFD-4CEC-B904-362CB16D5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856" b="39044"/>
        <a:stretch/>
      </xdr:blipFill>
      <xdr:spPr>
        <a:xfrm>
          <a:off x="265698" y="275724"/>
          <a:ext cx="1777401" cy="6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31C4-54E5-4F4B-8307-7C25D51184B0}">
  <sheetPr>
    <tabColor rgb="FFC00000"/>
    <pageSetUpPr fitToPage="1"/>
  </sheetPr>
  <dimension ref="A1:L63"/>
  <sheetViews>
    <sheetView showGridLines="0" view="pageBreakPreview" topLeftCell="A15" zoomScale="91" zoomScaleNormal="85" zoomScaleSheetLayoutView="91" workbookViewId="0">
      <selection activeCell="E26" sqref="E26"/>
    </sheetView>
  </sheetViews>
  <sheetFormatPr defaultColWidth="8.7265625" defaultRowHeight="14.5" x14ac:dyDescent="0.35"/>
  <cols>
    <col min="1" max="1" width="2.26953125" style="2" customWidth="1"/>
    <col min="2" max="2" width="6.7265625" style="2" customWidth="1"/>
    <col min="3" max="3" width="15.08984375" style="2" bestFit="1" customWidth="1"/>
    <col min="4" max="4" width="16.26953125" style="2" bestFit="1" customWidth="1"/>
    <col min="5" max="5" width="28.54296875" style="2" customWidth="1"/>
    <col min="6" max="6" width="15.36328125" style="2" bestFit="1" customWidth="1"/>
    <col min="7" max="7" width="16.7265625" style="2" customWidth="1"/>
    <col min="8" max="8" width="13.453125" style="2" bestFit="1" customWidth="1"/>
    <col min="9" max="9" width="15.36328125" style="2" customWidth="1"/>
    <col min="10" max="10" width="17.08984375" style="2" customWidth="1"/>
    <col min="11" max="11" width="15.7265625" style="2" bestFit="1" customWidth="1"/>
    <col min="12" max="12" width="2.26953125" style="2" customWidth="1"/>
    <col min="13" max="16384" width="8.7265625" style="2"/>
  </cols>
  <sheetData>
    <row r="1" spans="1:12" x14ac:dyDescent="0.35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12" ht="37.5" x14ac:dyDescent="0.35">
      <c r="A2" s="78"/>
      <c r="B2" s="138" t="s">
        <v>0</v>
      </c>
      <c r="C2" s="138"/>
      <c r="D2" s="138"/>
      <c r="E2" s="138"/>
      <c r="F2" s="138"/>
      <c r="G2" s="138"/>
      <c r="H2" s="138"/>
      <c r="I2" s="138"/>
      <c r="J2" s="138"/>
      <c r="K2" s="138"/>
      <c r="L2" s="93"/>
    </row>
    <row r="3" spans="1:12" ht="28" customHeight="1" x14ac:dyDescent="0.35">
      <c r="A3" s="78"/>
      <c r="B3" s="139" t="s">
        <v>1</v>
      </c>
      <c r="C3" s="139"/>
      <c r="D3" s="139"/>
      <c r="E3" s="139"/>
      <c r="F3" s="139"/>
      <c r="G3" s="139"/>
      <c r="H3" s="139"/>
      <c r="I3" s="139"/>
      <c r="J3" s="139"/>
      <c r="K3" s="139"/>
      <c r="L3" s="79"/>
    </row>
    <row r="4" spans="1:12" ht="10" customHeight="1" x14ac:dyDescent="0.35">
      <c r="A4" s="78"/>
      <c r="B4" s="33"/>
      <c r="C4" s="33"/>
      <c r="D4" s="33"/>
      <c r="E4" s="33"/>
      <c r="F4" s="33"/>
      <c r="G4" s="33"/>
      <c r="H4" s="33"/>
      <c r="I4" s="33"/>
      <c r="J4" s="33"/>
      <c r="K4" s="33"/>
      <c r="L4" s="80"/>
    </row>
    <row r="5" spans="1:12" ht="23.15" customHeight="1" x14ac:dyDescent="0.8">
      <c r="A5" s="78"/>
      <c r="E5" s="34" t="s">
        <v>5</v>
      </c>
      <c r="F5" s="140" t="s">
        <v>20</v>
      </c>
      <c r="G5" s="140"/>
      <c r="H5" s="35" t="s">
        <v>6</v>
      </c>
      <c r="I5" s="141">
        <v>2026</v>
      </c>
      <c r="L5" s="81"/>
    </row>
    <row r="6" spans="1:12" ht="18.649999999999999" customHeight="1" x14ac:dyDescent="0.55000000000000004">
      <c r="A6" s="78"/>
      <c r="E6" s="36" t="s">
        <v>48</v>
      </c>
      <c r="F6" s="140"/>
      <c r="G6" s="140"/>
      <c r="H6" s="37" t="s">
        <v>19</v>
      </c>
      <c r="I6" s="141"/>
      <c r="L6" s="81"/>
    </row>
    <row r="7" spans="1:12" x14ac:dyDescent="0.35">
      <c r="A7" s="78"/>
      <c r="L7" s="82"/>
    </row>
    <row r="8" spans="1:12" s="14" customFormat="1" ht="20" x14ac:dyDescent="0.5">
      <c r="A8" s="83"/>
      <c r="B8" s="113" t="s">
        <v>31</v>
      </c>
      <c r="C8" s="114"/>
      <c r="D8" s="153" t="s">
        <v>54</v>
      </c>
      <c r="E8" s="163"/>
      <c r="F8" s="164"/>
      <c r="G8" s="25" t="s">
        <v>15</v>
      </c>
      <c r="H8" s="142"/>
      <c r="I8" s="142"/>
      <c r="J8" s="142"/>
      <c r="K8" s="142"/>
      <c r="L8" s="84"/>
    </row>
    <row r="9" spans="1:12" ht="21" customHeight="1" x14ac:dyDescent="0.35">
      <c r="A9" s="78"/>
      <c r="B9" s="121" t="s">
        <v>4</v>
      </c>
      <c r="C9" s="122"/>
      <c r="D9" s="165"/>
      <c r="E9" s="166"/>
      <c r="F9" s="167"/>
      <c r="G9" s="26" t="s">
        <v>16</v>
      </c>
      <c r="H9" s="142"/>
      <c r="I9" s="142"/>
      <c r="J9" s="142"/>
      <c r="K9" s="142"/>
      <c r="L9" s="82"/>
    </row>
    <row r="10" spans="1:12" s="14" customFormat="1" ht="20" x14ac:dyDescent="0.5">
      <c r="A10" s="83"/>
      <c r="B10" s="113" t="s">
        <v>32</v>
      </c>
      <c r="C10" s="114"/>
      <c r="D10" s="147" t="s">
        <v>55</v>
      </c>
      <c r="E10" s="148"/>
      <c r="F10" s="148"/>
      <c r="G10" s="148"/>
      <c r="H10" s="148"/>
      <c r="I10" s="148"/>
      <c r="J10" s="148"/>
      <c r="K10" s="149"/>
      <c r="L10" s="84"/>
    </row>
    <row r="11" spans="1:12" ht="18.649999999999999" customHeight="1" x14ac:dyDescent="0.35">
      <c r="A11" s="78"/>
      <c r="B11" s="121" t="s">
        <v>33</v>
      </c>
      <c r="C11" s="122"/>
      <c r="D11" s="150"/>
      <c r="E11" s="151"/>
      <c r="F11" s="151"/>
      <c r="G11" s="151"/>
      <c r="H11" s="151"/>
      <c r="I11" s="151"/>
      <c r="J11" s="151"/>
      <c r="K11" s="152"/>
      <c r="L11" s="82"/>
    </row>
    <row r="12" spans="1:12" s="14" customFormat="1" ht="20" x14ac:dyDescent="0.5">
      <c r="A12" s="83"/>
      <c r="B12" s="123" t="s">
        <v>58</v>
      </c>
      <c r="C12" s="124"/>
      <c r="D12" s="153" t="s">
        <v>54</v>
      </c>
      <c r="E12" s="154"/>
      <c r="F12" s="155"/>
      <c r="G12" s="27" t="s">
        <v>34</v>
      </c>
      <c r="H12" s="142"/>
      <c r="I12" s="142"/>
      <c r="J12" s="142"/>
      <c r="K12" s="142"/>
      <c r="L12" s="84"/>
    </row>
    <row r="13" spans="1:12" ht="18.649999999999999" customHeight="1" x14ac:dyDescent="0.35">
      <c r="A13" s="78"/>
      <c r="B13" s="123" t="s">
        <v>36</v>
      </c>
      <c r="C13" s="124"/>
      <c r="D13" s="156"/>
      <c r="E13" s="157"/>
      <c r="F13" s="158"/>
      <c r="G13" s="26" t="s">
        <v>35</v>
      </c>
      <c r="H13" s="142"/>
      <c r="I13" s="142"/>
      <c r="J13" s="142"/>
      <c r="K13" s="142"/>
      <c r="L13" s="82"/>
    </row>
    <row r="14" spans="1:12" x14ac:dyDescent="0.35">
      <c r="A14" s="78"/>
      <c r="B14" s="24"/>
      <c r="C14" s="24"/>
      <c r="L14" s="82"/>
    </row>
    <row r="15" spans="1:12" s="18" customFormat="1" ht="17.5" customHeight="1" x14ac:dyDescent="0.35">
      <c r="A15" s="85"/>
      <c r="B15" s="15" t="s">
        <v>2</v>
      </c>
      <c r="C15" s="15" t="s">
        <v>57</v>
      </c>
      <c r="D15" s="15" t="s">
        <v>60</v>
      </c>
      <c r="E15" s="15" t="s">
        <v>61</v>
      </c>
      <c r="F15" s="15" t="s">
        <v>65</v>
      </c>
      <c r="G15" s="15" t="s">
        <v>63</v>
      </c>
      <c r="H15" s="15" t="s">
        <v>9</v>
      </c>
      <c r="I15" s="15" t="s">
        <v>10</v>
      </c>
      <c r="J15" s="15" t="s">
        <v>3</v>
      </c>
      <c r="K15" s="15" t="s">
        <v>39</v>
      </c>
      <c r="L15" s="86"/>
    </row>
    <row r="16" spans="1:12" s="6" customFormat="1" ht="17.5" customHeight="1" x14ac:dyDescent="0.35">
      <c r="A16" s="87"/>
      <c r="B16" s="4" t="s">
        <v>7</v>
      </c>
      <c r="C16" s="4" t="s">
        <v>56</v>
      </c>
      <c r="D16" s="4" t="s">
        <v>59</v>
      </c>
      <c r="E16" s="4" t="s">
        <v>62</v>
      </c>
      <c r="F16" s="4" t="s">
        <v>66</v>
      </c>
      <c r="G16" s="4" t="s">
        <v>64</v>
      </c>
      <c r="H16" s="4" t="s">
        <v>8</v>
      </c>
      <c r="I16" s="4" t="s">
        <v>11</v>
      </c>
      <c r="J16" s="4" t="s">
        <v>12</v>
      </c>
      <c r="K16" s="4" t="s">
        <v>13</v>
      </c>
      <c r="L16" s="88"/>
    </row>
    <row r="17" spans="1:12" ht="19.5" customHeight="1" x14ac:dyDescent="0.35">
      <c r="A17" s="78"/>
      <c r="B17" s="21">
        <f>ROW()-15</f>
        <v>2</v>
      </c>
      <c r="C17" s="5"/>
      <c r="D17" s="5"/>
      <c r="E17" s="5"/>
      <c r="F17" s="5"/>
      <c r="G17" s="5"/>
      <c r="H17" s="32"/>
      <c r="I17" s="30" t="str">
        <f>IF(F17*H17=0,"",F17*H17)</f>
        <v/>
      </c>
      <c r="J17" s="19" t="str">
        <f>IF(I17="","",I17*K17)</f>
        <v/>
      </c>
      <c r="K17" s="22"/>
      <c r="L17" s="82"/>
    </row>
    <row r="18" spans="1:12" ht="19.5" customHeight="1" x14ac:dyDescent="0.35">
      <c r="A18" s="78"/>
      <c r="B18" s="21">
        <f>ROW()-15</f>
        <v>3</v>
      </c>
      <c r="C18" s="5"/>
      <c r="D18" s="5"/>
      <c r="E18" s="5"/>
      <c r="F18" s="5"/>
      <c r="G18" s="5"/>
      <c r="H18" s="32"/>
      <c r="I18" s="30" t="str">
        <f t="shared" ref="I18:I42" si="0">IF(F18*H18=0,"",F18*H18)</f>
        <v/>
      </c>
      <c r="J18" s="19" t="str">
        <f t="shared" ref="J18:J42" si="1">IF(I18="","",I18*K18)</f>
        <v/>
      </c>
      <c r="K18" s="22"/>
      <c r="L18" s="82"/>
    </row>
    <row r="19" spans="1:12" ht="19.5" customHeight="1" x14ac:dyDescent="0.35">
      <c r="A19" s="78"/>
      <c r="B19" s="21">
        <f t="shared" ref="B19:B42" si="2">ROW()-15</f>
        <v>4</v>
      </c>
      <c r="C19" s="5"/>
      <c r="D19" s="5"/>
      <c r="E19" s="5"/>
      <c r="F19" s="5"/>
      <c r="G19" s="5"/>
      <c r="H19" s="32"/>
      <c r="I19" s="30" t="str">
        <f t="shared" si="0"/>
        <v/>
      </c>
      <c r="J19" s="19" t="str">
        <f t="shared" si="1"/>
        <v/>
      </c>
      <c r="K19" s="22"/>
      <c r="L19" s="82"/>
    </row>
    <row r="20" spans="1:12" ht="19.5" customHeight="1" x14ac:dyDescent="0.35">
      <c r="A20" s="78"/>
      <c r="B20" s="21">
        <f t="shared" si="2"/>
        <v>5</v>
      </c>
      <c r="C20" s="5"/>
      <c r="D20" s="5"/>
      <c r="E20" s="5"/>
      <c r="F20" s="5"/>
      <c r="G20" s="5"/>
      <c r="H20" s="32"/>
      <c r="I20" s="30" t="str">
        <f t="shared" si="0"/>
        <v/>
      </c>
      <c r="J20" s="19" t="str">
        <f t="shared" si="1"/>
        <v/>
      </c>
      <c r="K20" s="22"/>
      <c r="L20" s="82"/>
    </row>
    <row r="21" spans="1:12" ht="19.5" customHeight="1" x14ac:dyDescent="0.35">
      <c r="A21" s="78"/>
      <c r="B21" s="21">
        <f t="shared" si="2"/>
        <v>6</v>
      </c>
      <c r="C21" s="5"/>
      <c r="D21" s="5"/>
      <c r="E21" s="5"/>
      <c r="F21" s="5"/>
      <c r="G21" s="5"/>
      <c r="H21" s="32"/>
      <c r="I21" s="30" t="str">
        <f t="shared" si="0"/>
        <v/>
      </c>
      <c r="J21" s="19" t="str">
        <f t="shared" si="1"/>
        <v/>
      </c>
      <c r="K21" s="22"/>
      <c r="L21" s="82"/>
    </row>
    <row r="22" spans="1:12" ht="19.5" customHeight="1" x14ac:dyDescent="0.35">
      <c r="A22" s="78"/>
      <c r="B22" s="21">
        <f t="shared" si="2"/>
        <v>7</v>
      </c>
      <c r="C22" s="5"/>
      <c r="D22" s="5"/>
      <c r="E22" s="5"/>
      <c r="F22" s="5"/>
      <c r="G22" s="5"/>
      <c r="H22" s="32"/>
      <c r="I22" s="30" t="str">
        <f t="shared" si="0"/>
        <v/>
      </c>
      <c r="J22" s="19" t="str">
        <f t="shared" si="1"/>
        <v/>
      </c>
      <c r="K22" s="22"/>
      <c r="L22" s="82"/>
    </row>
    <row r="23" spans="1:12" ht="19.5" customHeight="1" x14ac:dyDescent="0.35">
      <c r="A23" s="78"/>
      <c r="B23" s="21">
        <f t="shared" si="2"/>
        <v>8</v>
      </c>
      <c r="C23" s="5"/>
      <c r="D23" s="5"/>
      <c r="E23" s="5"/>
      <c r="F23" s="5"/>
      <c r="G23" s="5"/>
      <c r="H23" s="32"/>
      <c r="I23" s="30" t="str">
        <f t="shared" si="0"/>
        <v/>
      </c>
      <c r="J23" s="19" t="str">
        <f t="shared" si="1"/>
        <v/>
      </c>
      <c r="K23" s="22"/>
      <c r="L23" s="82"/>
    </row>
    <row r="24" spans="1:12" ht="19.5" customHeight="1" x14ac:dyDescent="0.35">
      <c r="A24" s="78"/>
      <c r="B24" s="21">
        <f t="shared" si="2"/>
        <v>9</v>
      </c>
      <c r="C24" s="5"/>
      <c r="D24" s="5"/>
      <c r="E24" s="5"/>
      <c r="F24" s="5"/>
      <c r="G24" s="5"/>
      <c r="H24" s="32"/>
      <c r="I24" s="30" t="str">
        <f t="shared" si="0"/>
        <v/>
      </c>
      <c r="J24" s="19" t="str">
        <f t="shared" si="1"/>
        <v/>
      </c>
      <c r="K24" s="22"/>
      <c r="L24" s="82"/>
    </row>
    <row r="25" spans="1:12" ht="19.5" customHeight="1" x14ac:dyDescent="0.35">
      <c r="A25" s="78"/>
      <c r="B25" s="21">
        <f t="shared" si="2"/>
        <v>10</v>
      </c>
      <c r="C25" s="5"/>
      <c r="D25" s="5"/>
      <c r="E25" s="5"/>
      <c r="F25" s="5"/>
      <c r="G25" s="5"/>
      <c r="H25" s="32"/>
      <c r="I25" s="30" t="str">
        <f t="shared" si="0"/>
        <v/>
      </c>
      <c r="J25" s="19" t="str">
        <f t="shared" si="1"/>
        <v/>
      </c>
      <c r="K25" s="22"/>
      <c r="L25" s="82"/>
    </row>
    <row r="26" spans="1:12" ht="19.5" customHeight="1" thickBot="1" x14ac:dyDescent="0.4">
      <c r="A26" s="78"/>
      <c r="B26" s="21">
        <f t="shared" si="2"/>
        <v>11</v>
      </c>
      <c r="C26" s="5"/>
      <c r="D26" s="5"/>
      <c r="E26" s="5"/>
      <c r="F26" s="54"/>
      <c r="G26" s="54"/>
      <c r="H26" s="55"/>
      <c r="I26" s="56" t="str">
        <f t="shared" si="0"/>
        <v/>
      </c>
      <c r="J26" s="57" t="str">
        <f t="shared" si="1"/>
        <v/>
      </c>
      <c r="K26" s="58"/>
      <c r="L26" s="82"/>
    </row>
    <row r="27" spans="1:12" ht="19.5" customHeight="1" x14ac:dyDescent="0.35">
      <c r="A27" s="78"/>
      <c r="B27" s="21">
        <f t="shared" si="2"/>
        <v>12</v>
      </c>
      <c r="C27" s="5"/>
      <c r="D27" s="5"/>
      <c r="E27" s="53"/>
      <c r="F27" s="63">
        <v>200</v>
      </c>
      <c r="G27" s="64"/>
      <c r="H27" s="65">
        <v>0.9</v>
      </c>
      <c r="I27" s="66">
        <f t="shared" si="0"/>
        <v>180</v>
      </c>
      <c r="J27" s="67">
        <f t="shared" si="1"/>
        <v>5.3999999999999995</v>
      </c>
      <c r="K27" s="68">
        <v>0.03</v>
      </c>
      <c r="L27" s="82"/>
    </row>
    <row r="28" spans="1:12" ht="19.5" customHeight="1" thickBot="1" x14ac:dyDescent="0.4">
      <c r="A28" s="78"/>
      <c r="B28" s="21">
        <f t="shared" si="2"/>
        <v>13</v>
      </c>
      <c r="C28" s="5"/>
      <c r="D28" s="5"/>
      <c r="E28" s="53"/>
      <c r="F28" s="69">
        <v>-100</v>
      </c>
      <c r="G28" s="70"/>
      <c r="H28" s="71">
        <v>0.9</v>
      </c>
      <c r="I28" s="72">
        <f t="shared" si="0"/>
        <v>-90</v>
      </c>
      <c r="J28" s="73">
        <f t="shared" si="1"/>
        <v>-2.6999999999999997</v>
      </c>
      <c r="K28" s="74">
        <v>0.03</v>
      </c>
      <c r="L28" s="82"/>
    </row>
    <row r="29" spans="1:12" ht="19.5" customHeight="1" x14ac:dyDescent="0.35">
      <c r="A29" s="78"/>
      <c r="B29" s="21">
        <f t="shared" si="2"/>
        <v>14</v>
      </c>
      <c r="C29" s="5"/>
      <c r="D29" s="5"/>
      <c r="E29" s="5"/>
      <c r="F29" s="4"/>
      <c r="G29" s="4"/>
      <c r="H29" s="59"/>
      <c r="I29" s="60" t="str">
        <f t="shared" si="0"/>
        <v/>
      </c>
      <c r="J29" s="61" t="str">
        <f t="shared" si="1"/>
        <v/>
      </c>
      <c r="K29" s="62"/>
      <c r="L29" s="82"/>
    </row>
    <row r="30" spans="1:12" ht="19.5" customHeight="1" x14ac:dyDescent="0.35">
      <c r="A30" s="78"/>
      <c r="B30" s="21">
        <f t="shared" si="2"/>
        <v>15</v>
      </c>
      <c r="C30" s="5"/>
      <c r="D30" s="5"/>
      <c r="E30" s="5"/>
      <c r="F30" s="5"/>
      <c r="G30" s="5"/>
      <c r="H30" s="32"/>
      <c r="I30" s="30" t="str">
        <f t="shared" si="0"/>
        <v/>
      </c>
      <c r="J30" s="19" t="str">
        <f t="shared" si="1"/>
        <v/>
      </c>
      <c r="K30" s="22"/>
      <c r="L30" s="82"/>
    </row>
    <row r="31" spans="1:12" ht="19.5" customHeight="1" x14ac:dyDescent="0.35">
      <c r="A31" s="78"/>
      <c r="B31" s="21">
        <f t="shared" si="2"/>
        <v>16</v>
      </c>
      <c r="C31" s="5"/>
      <c r="D31" s="5"/>
      <c r="E31" s="5"/>
      <c r="F31" s="5"/>
      <c r="G31" s="5"/>
      <c r="H31" s="32"/>
      <c r="I31" s="30" t="str">
        <f t="shared" si="0"/>
        <v/>
      </c>
      <c r="J31" s="19" t="str">
        <f t="shared" si="1"/>
        <v/>
      </c>
      <c r="K31" s="22"/>
      <c r="L31" s="82"/>
    </row>
    <row r="32" spans="1:12" ht="19.5" customHeight="1" x14ac:dyDescent="0.35">
      <c r="A32" s="78"/>
      <c r="B32" s="21">
        <f t="shared" si="2"/>
        <v>17</v>
      </c>
      <c r="C32" s="5"/>
      <c r="D32" s="5"/>
      <c r="E32" s="5"/>
      <c r="F32" s="5"/>
      <c r="G32" s="5"/>
      <c r="H32" s="32"/>
      <c r="I32" s="30" t="str">
        <f t="shared" si="0"/>
        <v/>
      </c>
      <c r="J32" s="19" t="str">
        <f t="shared" si="1"/>
        <v/>
      </c>
      <c r="K32" s="22"/>
      <c r="L32" s="82"/>
    </row>
    <row r="33" spans="1:12" ht="19.5" customHeight="1" x14ac:dyDescent="0.35">
      <c r="A33" s="78"/>
      <c r="B33" s="21">
        <f t="shared" si="2"/>
        <v>18</v>
      </c>
      <c r="C33" s="5"/>
      <c r="D33" s="5"/>
      <c r="E33" s="5"/>
      <c r="F33" s="5"/>
      <c r="G33" s="5"/>
      <c r="H33" s="32"/>
      <c r="I33" s="30" t="str">
        <f t="shared" si="0"/>
        <v/>
      </c>
      <c r="J33" s="19" t="str">
        <f t="shared" si="1"/>
        <v/>
      </c>
      <c r="K33" s="22"/>
      <c r="L33" s="82"/>
    </row>
    <row r="34" spans="1:12" ht="19.5" customHeight="1" x14ac:dyDescent="0.35">
      <c r="A34" s="78"/>
      <c r="B34" s="21">
        <f t="shared" si="2"/>
        <v>19</v>
      </c>
      <c r="C34" s="5"/>
      <c r="D34" s="5"/>
      <c r="E34" s="5"/>
      <c r="F34" s="5"/>
      <c r="G34" s="5"/>
      <c r="H34" s="32"/>
      <c r="I34" s="30" t="str">
        <f t="shared" si="0"/>
        <v/>
      </c>
      <c r="J34" s="19" t="str">
        <f t="shared" si="1"/>
        <v/>
      </c>
      <c r="K34" s="22"/>
      <c r="L34" s="82"/>
    </row>
    <row r="35" spans="1:12" ht="19.5" customHeight="1" x14ac:dyDescent="0.35">
      <c r="A35" s="78"/>
      <c r="B35" s="21">
        <f t="shared" si="2"/>
        <v>20</v>
      </c>
      <c r="C35" s="5"/>
      <c r="D35" s="5"/>
      <c r="E35" s="5"/>
      <c r="F35" s="5"/>
      <c r="G35" s="5"/>
      <c r="H35" s="32"/>
      <c r="I35" s="30" t="str">
        <f t="shared" si="0"/>
        <v/>
      </c>
      <c r="J35" s="19" t="str">
        <f t="shared" si="1"/>
        <v/>
      </c>
      <c r="K35" s="22"/>
      <c r="L35" s="82"/>
    </row>
    <row r="36" spans="1:12" ht="19.5" customHeight="1" x14ac:dyDescent="0.35">
      <c r="A36" s="78"/>
      <c r="B36" s="21">
        <f t="shared" si="2"/>
        <v>21</v>
      </c>
      <c r="C36" s="5"/>
      <c r="D36" s="5"/>
      <c r="E36" s="5"/>
      <c r="F36" s="5"/>
      <c r="G36" s="5"/>
      <c r="H36" s="32"/>
      <c r="I36" s="30" t="str">
        <f t="shared" si="0"/>
        <v/>
      </c>
      <c r="J36" s="19" t="str">
        <f t="shared" si="1"/>
        <v/>
      </c>
      <c r="K36" s="22"/>
      <c r="L36" s="82"/>
    </row>
    <row r="37" spans="1:12" ht="19.5" customHeight="1" x14ac:dyDescent="0.35">
      <c r="A37" s="78"/>
      <c r="B37" s="21">
        <f t="shared" si="2"/>
        <v>22</v>
      </c>
      <c r="C37" s="5"/>
      <c r="D37" s="5"/>
      <c r="E37" s="5"/>
      <c r="F37" s="5"/>
      <c r="G37" s="5"/>
      <c r="H37" s="32"/>
      <c r="I37" s="30" t="str">
        <f t="shared" si="0"/>
        <v/>
      </c>
      <c r="J37" s="19" t="str">
        <f t="shared" si="1"/>
        <v/>
      </c>
      <c r="K37" s="22"/>
      <c r="L37" s="82"/>
    </row>
    <row r="38" spans="1:12" ht="19.5" customHeight="1" x14ac:dyDescent="0.35">
      <c r="A38" s="78"/>
      <c r="B38" s="21">
        <f t="shared" si="2"/>
        <v>23</v>
      </c>
      <c r="C38" s="5"/>
      <c r="D38" s="5"/>
      <c r="E38" s="5"/>
      <c r="F38" s="5"/>
      <c r="G38" s="5"/>
      <c r="H38" s="32"/>
      <c r="I38" s="30" t="str">
        <f t="shared" si="0"/>
        <v/>
      </c>
      <c r="J38" s="19" t="str">
        <f t="shared" si="1"/>
        <v/>
      </c>
      <c r="K38" s="22"/>
      <c r="L38" s="82"/>
    </row>
    <row r="39" spans="1:12" ht="19.5" customHeight="1" x14ac:dyDescent="0.35">
      <c r="A39" s="78"/>
      <c r="B39" s="21">
        <f t="shared" si="2"/>
        <v>24</v>
      </c>
      <c r="C39" s="5"/>
      <c r="D39" s="5"/>
      <c r="E39" s="5"/>
      <c r="F39" s="5"/>
      <c r="G39" s="5"/>
      <c r="H39" s="32"/>
      <c r="I39" s="30" t="str">
        <f t="shared" si="0"/>
        <v/>
      </c>
      <c r="J39" s="19" t="str">
        <f t="shared" si="1"/>
        <v/>
      </c>
      <c r="K39" s="22"/>
      <c r="L39" s="82"/>
    </row>
    <row r="40" spans="1:12" ht="19.5" customHeight="1" x14ac:dyDescent="0.35">
      <c r="A40" s="78"/>
      <c r="B40" s="21">
        <f t="shared" si="2"/>
        <v>25</v>
      </c>
      <c r="C40" s="5"/>
      <c r="D40" s="5"/>
      <c r="E40" s="5"/>
      <c r="F40" s="5"/>
      <c r="G40" s="5"/>
      <c r="H40" s="32"/>
      <c r="I40" s="30" t="str">
        <f t="shared" si="0"/>
        <v/>
      </c>
      <c r="J40" s="19" t="str">
        <f t="shared" si="1"/>
        <v/>
      </c>
      <c r="K40" s="22"/>
      <c r="L40" s="82"/>
    </row>
    <row r="41" spans="1:12" ht="19.5" customHeight="1" x14ac:dyDescent="0.35">
      <c r="A41" s="78"/>
      <c r="B41" s="21">
        <f t="shared" si="2"/>
        <v>26</v>
      </c>
      <c r="C41" s="5"/>
      <c r="D41" s="5"/>
      <c r="E41" s="5"/>
      <c r="F41" s="5"/>
      <c r="G41" s="5"/>
      <c r="H41" s="32"/>
      <c r="I41" s="30" t="str">
        <f t="shared" si="0"/>
        <v/>
      </c>
      <c r="J41" s="19" t="str">
        <f t="shared" si="1"/>
        <v/>
      </c>
      <c r="K41" s="22"/>
      <c r="L41" s="82"/>
    </row>
    <row r="42" spans="1:12" ht="19.5" customHeight="1" x14ac:dyDescent="0.35">
      <c r="A42" s="78"/>
      <c r="B42" s="21">
        <f t="shared" si="2"/>
        <v>27</v>
      </c>
      <c r="C42" s="5"/>
      <c r="D42" s="5"/>
      <c r="E42" s="5"/>
      <c r="F42" s="5"/>
      <c r="G42" s="5"/>
      <c r="H42" s="32"/>
      <c r="I42" s="30" t="str">
        <f t="shared" si="0"/>
        <v/>
      </c>
      <c r="J42" s="19" t="str">
        <f t="shared" si="1"/>
        <v/>
      </c>
      <c r="K42" s="22"/>
      <c r="L42" s="82"/>
    </row>
    <row r="43" spans="1:12" ht="25" customHeight="1" thickBot="1" x14ac:dyDescent="0.4">
      <c r="A43" s="78"/>
      <c r="E43" s="38" t="s">
        <v>17</v>
      </c>
      <c r="F43" s="17">
        <f>IF(SUMIF(F17:F42,"&lt;&gt;")=0,"",SUMIF(F17:F42,"&lt;&gt;"))</f>
        <v>100</v>
      </c>
      <c r="G43" s="39" t="s">
        <v>68</v>
      </c>
      <c r="H43" s="40" t="s">
        <v>14</v>
      </c>
      <c r="I43" s="31">
        <f>IF(SUM(I17:I42)="","",SUM(I17:I42))</f>
        <v>90</v>
      </c>
      <c r="J43" s="20">
        <f>IF(SUM(J17:J42)="","",SUM(J17:J42))</f>
        <v>2.6999999999999997</v>
      </c>
      <c r="K43" s="51"/>
      <c r="L43" s="82"/>
    </row>
    <row r="44" spans="1:12" ht="19.5" customHeight="1" x14ac:dyDescent="0.35">
      <c r="A44" s="78"/>
      <c r="L44" s="82"/>
    </row>
    <row r="45" spans="1:12" ht="20.5" customHeight="1" x14ac:dyDescent="0.7">
      <c r="A45" s="78"/>
      <c r="I45" s="41" t="s">
        <v>37</v>
      </c>
      <c r="J45" s="130">
        <f>IF(J43="","",I43-J43)</f>
        <v>87.3</v>
      </c>
      <c r="K45" s="52" t="s">
        <v>40</v>
      </c>
      <c r="L45" s="82"/>
    </row>
    <row r="46" spans="1:12" ht="20.5" customHeight="1" thickBot="1" x14ac:dyDescent="0.5">
      <c r="A46" s="78"/>
      <c r="I46" s="42" t="s">
        <v>38</v>
      </c>
      <c r="J46" s="131"/>
      <c r="K46" s="44" t="s">
        <v>41</v>
      </c>
      <c r="L46" s="82"/>
    </row>
    <row r="47" spans="1:12" ht="12.65" customHeight="1" thickTop="1" x14ac:dyDescent="0.35">
      <c r="A47" s="78"/>
      <c r="L47" s="82"/>
    </row>
    <row r="48" spans="1:12" s="14" customFormat="1" ht="19" customHeight="1" x14ac:dyDescent="0.6">
      <c r="A48" s="83"/>
      <c r="B48" s="43" t="s">
        <v>42</v>
      </c>
      <c r="C48" s="159"/>
      <c r="D48" s="159"/>
      <c r="E48" s="159"/>
      <c r="F48" s="44"/>
      <c r="G48" s="45" t="s">
        <v>46</v>
      </c>
      <c r="H48" s="134"/>
      <c r="I48" s="134"/>
      <c r="J48" s="134"/>
      <c r="K48" s="134"/>
      <c r="L48" s="89"/>
    </row>
    <row r="49" spans="1:12" ht="19" customHeight="1" x14ac:dyDescent="0.35">
      <c r="A49" s="78"/>
      <c r="B49" s="2" t="s">
        <v>43</v>
      </c>
      <c r="C49" s="160"/>
      <c r="D49" s="160"/>
      <c r="E49" s="160"/>
      <c r="F49" s="28"/>
      <c r="G49" s="46" t="s">
        <v>47</v>
      </c>
      <c r="H49" s="135"/>
      <c r="I49" s="135"/>
      <c r="J49" s="135"/>
      <c r="K49" s="135"/>
      <c r="L49" s="89"/>
    </row>
    <row r="50" spans="1:12" s="14" customFormat="1" ht="19" customHeight="1" x14ac:dyDescent="0.6">
      <c r="A50" s="83"/>
      <c r="B50" s="43" t="s">
        <v>45</v>
      </c>
      <c r="C50" s="161"/>
      <c r="D50" s="161"/>
      <c r="E50" s="161"/>
      <c r="F50" s="29"/>
      <c r="G50" s="45" t="s">
        <v>45</v>
      </c>
      <c r="H50" s="134"/>
      <c r="I50" s="134"/>
      <c r="J50" s="134"/>
      <c r="K50" s="134"/>
      <c r="L50" s="82"/>
    </row>
    <row r="51" spans="1:12" ht="19" customHeight="1" x14ac:dyDescent="0.35">
      <c r="A51" s="78"/>
      <c r="B51" s="2" t="s">
        <v>44</v>
      </c>
      <c r="C51" s="162"/>
      <c r="D51" s="162"/>
      <c r="E51" s="162"/>
      <c r="F51" s="28"/>
      <c r="G51" s="46" t="s">
        <v>44</v>
      </c>
      <c r="H51" s="135"/>
      <c r="I51" s="135"/>
      <c r="J51" s="135"/>
      <c r="K51" s="135"/>
      <c r="L51" s="82"/>
    </row>
    <row r="52" spans="1:12" x14ac:dyDescent="0.35">
      <c r="A52" s="78"/>
      <c r="F52" s="12"/>
      <c r="G52" s="12"/>
      <c r="L52" s="82"/>
    </row>
    <row r="53" spans="1:12" ht="20" x14ac:dyDescent="0.6">
      <c r="A53" s="78"/>
      <c r="B53" s="111" t="s">
        <v>53</v>
      </c>
      <c r="C53" s="112"/>
      <c r="D53" s="23"/>
      <c r="E53" s="7"/>
      <c r="F53" s="7"/>
      <c r="G53" s="7"/>
      <c r="H53" s="7"/>
      <c r="I53" s="7"/>
      <c r="J53" s="7"/>
      <c r="K53" s="8"/>
      <c r="L53" s="82"/>
    </row>
    <row r="54" spans="1:12" ht="18.5" x14ac:dyDescent="0.45">
      <c r="A54" s="78"/>
      <c r="B54" s="3"/>
      <c r="C54" s="47"/>
      <c r="D54" s="47"/>
      <c r="K54" s="9"/>
      <c r="L54" s="82"/>
    </row>
    <row r="55" spans="1:12" ht="18.5" x14ac:dyDescent="0.45">
      <c r="A55" s="78"/>
      <c r="B55" s="3"/>
      <c r="C55" s="47"/>
      <c r="D55" s="47"/>
      <c r="K55" s="9"/>
      <c r="L55" s="82"/>
    </row>
    <row r="56" spans="1:12" ht="18.5" x14ac:dyDescent="0.45">
      <c r="A56" s="78"/>
      <c r="B56" s="3"/>
      <c r="C56" s="47"/>
      <c r="D56" s="47"/>
      <c r="K56" s="9"/>
      <c r="L56" s="82"/>
    </row>
    <row r="57" spans="1:12" x14ac:dyDescent="0.35">
      <c r="A57" s="78"/>
      <c r="B57" s="10"/>
      <c r="K57" s="9"/>
      <c r="L57" s="82"/>
    </row>
    <row r="58" spans="1:12" ht="15.5" x14ac:dyDescent="0.35">
      <c r="A58" s="78"/>
      <c r="B58" s="11"/>
      <c r="C58" s="12"/>
      <c r="D58" s="12"/>
      <c r="E58" s="12"/>
      <c r="F58" s="12"/>
      <c r="G58" s="12"/>
      <c r="H58" s="12"/>
      <c r="I58" s="12"/>
      <c r="J58" s="12"/>
      <c r="K58" s="13"/>
      <c r="L58" s="82"/>
    </row>
    <row r="59" spans="1:12" s="14" customFormat="1" ht="20" x14ac:dyDescent="0.6">
      <c r="A59" s="83"/>
      <c r="B59" s="48" t="s">
        <v>51</v>
      </c>
      <c r="L59" s="84"/>
    </row>
    <row r="60" spans="1:12" s="14" customFormat="1" ht="17.5" x14ac:dyDescent="0.55000000000000004">
      <c r="A60" s="83"/>
      <c r="B60" s="49" t="s">
        <v>67</v>
      </c>
      <c r="C60" s="49"/>
      <c r="D60" s="49"/>
      <c r="L60" s="84"/>
    </row>
    <row r="61" spans="1:12" x14ac:dyDescent="0.35">
      <c r="A61" s="78"/>
      <c r="B61" s="50" t="s">
        <v>50</v>
      </c>
      <c r="C61" s="50"/>
      <c r="D61" s="50"/>
      <c r="L61" s="82"/>
    </row>
    <row r="62" spans="1:12" x14ac:dyDescent="0.35">
      <c r="A62" s="78"/>
      <c r="B62" s="50" t="s">
        <v>49</v>
      </c>
      <c r="C62" s="50"/>
      <c r="D62" s="50"/>
      <c r="L62" s="82"/>
    </row>
    <row r="63" spans="1:12" ht="15" thickBot="1" x14ac:dyDescent="0.4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2"/>
    </row>
  </sheetData>
  <sheetProtection insertRows="0"/>
  <mergeCells count="21">
    <mergeCell ref="B2:K2"/>
    <mergeCell ref="B3:K3"/>
    <mergeCell ref="F5:G6"/>
    <mergeCell ref="I5:I6"/>
    <mergeCell ref="B8:C8"/>
    <mergeCell ref="H8:K9"/>
    <mergeCell ref="B9:C9"/>
    <mergeCell ref="D8:F9"/>
    <mergeCell ref="B53:C53"/>
    <mergeCell ref="B10:C10"/>
    <mergeCell ref="D10:K11"/>
    <mergeCell ref="B11:C11"/>
    <mergeCell ref="B12:C12"/>
    <mergeCell ref="D12:F13"/>
    <mergeCell ref="H12:K13"/>
    <mergeCell ref="B13:C13"/>
    <mergeCell ref="J45:J46"/>
    <mergeCell ref="C48:E49"/>
    <mergeCell ref="H48:K49"/>
    <mergeCell ref="C50:E51"/>
    <mergeCell ref="H50:K51"/>
  </mergeCells>
  <printOptions horizontalCentered="1"/>
  <pageMargins left="0.15" right="0.15" top="0.25" bottom="0.25" header="0.25" footer="0.05"/>
  <pageSetup paperSize="9" scale="61" fitToHeight="0" orientation="portrait" r:id="rId1"/>
  <colBreaks count="1" manualBreakCount="1">
    <brk id="12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38DD9C7-DB8C-4B19-B3A7-BA3DA61E46DA}">
          <x14:formula1>
            <xm:f>'เดือน Month'!$A$2:$A$13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697C-90B1-4624-98F9-DD443C961C2B}">
  <sheetPr>
    <tabColor rgb="FF92D050"/>
    <pageSetUpPr fitToPage="1"/>
  </sheetPr>
  <dimension ref="A1:L63"/>
  <sheetViews>
    <sheetView showGridLines="0" tabSelected="1" view="pageBreakPreview" topLeftCell="A24" zoomScale="61" zoomScaleNormal="85" zoomScaleSheetLayoutView="85" workbookViewId="0">
      <selection activeCell="J28" sqref="J28"/>
    </sheetView>
  </sheetViews>
  <sheetFormatPr defaultColWidth="8.7265625" defaultRowHeight="14.5" x14ac:dyDescent="0.35"/>
  <cols>
    <col min="1" max="1" width="2.26953125" style="2" customWidth="1"/>
    <col min="2" max="2" width="6.7265625" style="2" customWidth="1"/>
    <col min="3" max="3" width="15.08984375" style="2" bestFit="1" customWidth="1"/>
    <col min="4" max="4" width="27.36328125" style="2" bestFit="1" customWidth="1"/>
    <col min="5" max="5" width="28.54296875" style="2" customWidth="1"/>
    <col min="6" max="6" width="15.36328125" style="2" bestFit="1" customWidth="1"/>
    <col min="7" max="7" width="16.7265625" style="2" customWidth="1"/>
    <col min="8" max="8" width="13.453125" style="2" bestFit="1" customWidth="1"/>
    <col min="9" max="9" width="15.36328125" style="2" customWidth="1"/>
    <col min="10" max="10" width="17.08984375" style="2" customWidth="1"/>
    <col min="11" max="11" width="15.7265625" style="2" bestFit="1" customWidth="1"/>
    <col min="12" max="12" width="2.26953125" style="2" customWidth="1"/>
    <col min="13" max="16384" width="8.7265625" style="2"/>
  </cols>
  <sheetData>
    <row r="1" spans="1:12" x14ac:dyDescent="0.35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12" ht="37.5" x14ac:dyDescent="0.35">
      <c r="A2" s="78"/>
      <c r="B2" s="138" t="s">
        <v>0</v>
      </c>
      <c r="C2" s="138"/>
      <c r="D2" s="138"/>
      <c r="E2" s="138"/>
      <c r="F2" s="138"/>
      <c r="G2" s="138"/>
      <c r="H2" s="138"/>
      <c r="I2" s="138"/>
      <c r="J2" s="138"/>
      <c r="K2" s="138"/>
      <c r="L2" s="93"/>
    </row>
    <row r="3" spans="1:12" ht="28" customHeight="1" x14ac:dyDescent="0.35">
      <c r="A3" s="78"/>
      <c r="B3" s="139" t="s">
        <v>1</v>
      </c>
      <c r="C3" s="139"/>
      <c r="D3" s="139"/>
      <c r="E3" s="139"/>
      <c r="F3" s="139"/>
      <c r="G3" s="139"/>
      <c r="H3" s="139"/>
      <c r="I3" s="139"/>
      <c r="J3" s="139"/>
      <c r="K3" s="139"/>
      <c r="L3" s="79"/>
    </row>
    <row r="4" spans="1:12" ht="10" customHeight="1" x14ac:dyDescent="0.35">
      <c r="A4" s="78"/>
      <c r="B4" s="33"/>
      <c r="C4" s="33"/>
      <c r="D4" s="33"/>
      <c r="E4" s="33"/>
      <c r="F4" s="33"/>
      <c r="G4" s="33"/>
      <c r="H4" s="33"/>
      <c r="I4" s="33"/>
      <c r="J4" s="33"/>
      <c r="K4" s="33"/>
      <c r="L4" s="80"/>
    </row>
    <row r="5" spans="1:12" ht="23.15" customHeight="1" x14ac:dyDescent="0.8">
      <c r="A5" s="78"/>
      <c r="E5" s="34" t="s">
        <v>5</v>
      </c>
      <c r="F5" s="140" t="s">
        <v>24</v>
      </c>
      <c r="G5" s="140"/>
      <c r="H5" s="35" t="s">
        <v>6</v>
      </c>
      <c r="I5" s="141">
        <v>2026</v>
      </c>
      <c r="L5" s="81"/>
    </row>
    <row r="6" spans="1:12" ht="18.649999999999999" customHeight="1" x14ac:dyDescent="0.55000000000000004">
      <c r="A6" s="78"/>
      <c r="E6" s="36" t="s">
        <v>48</v>
      </c>
      <c r="F6" s="140"/>
      <c r="G6" s="140"/>
      <c r="H6" s="37" t="s">
        <v>19</v>
      </c>
      <c r="I6" s="141"/>
      <c r="L6" s="81"/>
    </row>
    <row r="7" spans="1:12" x14ac:dyDescent="0.35">
      <c r="A7" s="78"/>
      <c r="L7" s="82"/>
    </row>
    <row r="8" spans="1:12" s="14" customFormat="1" ht="20.149999999999999" customHeight="1" x14ac:dyDescent="0.5">
      <c r="A8" s="83"/>
      <c r="B8" s="113" t="s">
        <v>31</v>
      </c>
      <c r="C8" s="114"/>
      <c r="D8" s="143" t="s">
        <v>69</v>
      </c>
      <c r="E8" s="144"/>
      <c r="F8" s="144"/>
      <c r="G8" s="25" t="s">
        <v>15</v>
      </c>
      <c r="H8" s="142"/>
      <c r="I8" s="142"/>
      <c r="J8" s="142"/>
      <c r="K8" s="142"/>
      <c r="L8" s="84"/>
    </row>
    <row r="9" spans="1:12" ht="21" customHeight="1" x14ac:dyDescent="0.35">
      <c r="A9" s="78"/>
      <c r="B9" s="121" t="s">
        <v>4</v>
      </c>
      <c r="C9" s="122"/>
      <c r="D9" s="145"/>
      <c r="E9" s="146"/>
      <c r="F9" s="146"/>
      <c r="G9" s="26" t="s">
        <v>16</v>
      </c>
      <c r="H9" s="142"/>
      <c r="I9" s="142"/>
      <c r="J9" s="142"/>
      <c r="K9" s="142"/>
      <c r="L9" s="82"/>
    </row>
    <row r="10" spans="1:12" s="14" customFormat="1" ht="20" x14ac:dyDescent="0.5">
      <c r="A10" s="83"/>
      <c r="B10" s="113" t="s">
        <v>32</v>
      </c>
      <c r="C10" s="114"/>
      <c r="D10" s="115" t="s">
        <v>70</v>
      </c>
      <c r="E10" s="116"/>
      <c r="F10" s="116"/>
      <c r="G10" s="116"/>
      <c r="H10" s="116"/>
      <c r="I10" s="116"/>
      <c r="J10" s="116"/>
      <c r="K10" s="117"/>
      <c r="L10" s="84"/>
    </row>
    <row r="11" spans="1:12" ht="18.649999999999999" customHeight="1" x14ac:dyDescent="0.35">
      <c r="A11" s="78"/>
      <c r="B11" s="121" t="s">
        <v>33</v>
      </c>
      <c r="C11" s="122"/>
      <c r="D11" s="118"/>
      <c r="E11" s="119"/>
      <c r="F11" s="119"/>
      <c r="G11" s="119"/>
      <c r="H11" s="119"/>
      <c r="I11" s="119"/>
      <c r="J11" s="119"/>
      <c r="K11" s="120"/>
      <c r="L11" s="82"/>
    </row>
    <row r="12" spans="1:12" s="14" customFormat="1" ht="20" x14ac:dyDescent="0.5">
      <c r="A12" s="83"/>
      <c r="B12" s="123" t="s">
        <v>58</v>
      </c>
      <c r="C12" s="124"/>
      <c r="D12" s="126" t="s">
        <v>71</v>
      </c>
      <c r="E12" s="127"/>
      <c r="F12" s="127"/>
      <c r="G12" s="27" t="s">
        <v>34</v>
      </c>
      <c r="H12" s="125" t="s">
        <v>77</v>
      </c>
      <c r="I12" s="125"/>
      <c r="J12" s="125"/>
      <c r="K12" s="125"/>
      <c r="L12" s="84"/>
    </row>
    <row r="13" spans="1:12" ht="18.649999999999999" customHeight="1" x14ac:dyDescent="0.35">
      <c r="A13" s="78"/>
      <c r="B13" s="123" t="s">
        <v>36</v>
      </c>
      <c r="C13" s="124"/>
      <c r="D13" s="128"/>
      <c r="E13" s="129"/>
      <c r="F13" s="129"/>
      <c r="G13" s="26" t="s">
        <v>35</v>
      </c>
      <c r="H13" s="125"/>
      <c r="I13" s="125"/>
      <c r="J13" s="125"/>
      <c r="K13" s="125"/>
      <c r="L13" s="82"/>
    </row>
    <row r="14" spans="1:12" x14ac:dyDescent="0.35">
      <c r="A14" s="78"/>
      <c r="B14" s="24"/>
      <c r="C14" s="24"/>
      <c r="L14" s="82"/>
    </row>
    <row r="15" spans="1:12" s="18" customFormat="1" ht="17.5" customHeight="1" x14ac:dyDescent="0.35">
      <c r="A15" s="85"/>
      <c r="B15" s="15" t="s">
        <v>2</v>
      </c>
      <c r="C15" s="15" t="s">
        <v>57</v>
      </c>
      <c r="D15" s="15" t="s">
        <v>60</v>
      </c>
      <c r="E15" s="15" t="s">
        <v>61</v>
      </c>
      <c r="F15" s="15" t="s">
        <v>65</v>
      </c>
      <c r="G15" s="15" t="s">
        <v>63</v>
      </c>
      <c r="H15" s="15" t="s">
        <v>9</v>
      </c>
      <c r="I15" s="15" t="s">
        <v>10</v>
      </c>
      <c r="J15" s="15" t="s">
        <v>3</v>
      </c>
      <c r="K15" s="15" t="s">
        <v>39</v>
      </c>
      <c r="L15" s="86"/>
    </row>
    <row r="16" spans="1:12" s="6" customFormat="1" ht="17.5" customHeight="1" x14ac:dyDescent="0.35">
      <c r="A16" s="87"/>
      <c r="B16" s="4" t="s">
        <v>7</v>
      </c>
      <c r="C16" s="4" t="s">
        <v>56</v>
      </c>
      <c r="D16" s="4" t="s">
        <v>59</v>
      </c>
      <c r="E16" s="4" t="s">
        <v>62</v>
      </c>
      <c r="F16" s="4" t="s">
        <v>66</v>
      </c>
      <c r="G16" s="4" t="s">
        <v>64</v>
      </c>
      <c r="H16" s="4" t="s">
        <v>8</v>
      </c>
      <c r="I16" s="4" t="s">
        <v>11</v>
      </c>
      <c r="J16" s="4" t="s">
        <v>12</v>
      </c>
      <c r="K16" s="4" t="s">
        <v>13</v>
      </c>
      <c r="L16" s="88"/>
    </row>
    <row r="17" spans="1:12" ht="19.5" customHeight="1" x14ac:dyDescent="0.35">
      <c r="A17" s="78"/>
      <c r="B17" s="21">
        <f>ROW()-15</f>
        <v>2</v>
      </c>
      <c r="C17" s="5"/>
      <c r="D17" s="94" t="s">
        <v>73</v>
      </c>
      <c r="E17" s="5" t="s">
        <v>72</v>
      </c>
      <c r="F17" s="101">
        <v>2000</v>
      </c>
      <c r="G17" s="105">
        <v>46146</v>
      </c>
      <c r="H17" s="95">
        <v>0.92200000000000004</v>
      </c>
      <c r="I17" s="96">
        <f t="shared" ref="I17:I29" si="0">IF(F17*H17=0,"",F17*H17)</f>
        <v>1844</v>
      </c>
      <c r="J17" s="96">
        <f>IF(I17="","",I17*K17)</f>
        <v>55.32</v>
      </c>
      <c r="K17" s="22">
        <v>0.03</v>
      </c>
      <c r="L17" s="82"/>
    </row>
    <row r="18" spans="1:12" ht="19.5" customHeight="1" x14ac:dyDescent="0.35">
      <c r="A18" s="78"/>
      <c r="B18" s="21">
        <f>ROW()-15</f>
        <v>3</v>
      </c>
      <c r="C18" s="5"/>
      <c r="D18" s="94" t="s">
        <v>74</v>
      </c>
      <c r="E18" s="5" t="s">
        <v>75</v>
      </c>
      <c r="F18" s="101">
        <v>2000</v>
      </c>
      <c r="G18" s="105">
        <v>46146</v>
      </c>
      <c r="H18" s="95">
        <v>0.307</v>
      </c>
      <c r="I18" s="96">
        <f t="shared" si="0"/>
        <v>614</v>
      </c>
      <c r="J18" s="96">
        <f t="shared" ref="J18:J42" si="1">IF(I18="","",I18*K18)</f>
        <v>18.419999999999998</v>
      </c>
      <c r="K18" s="22">
        <v>0.03</v>
      </c>
      <c r="L18" s="82"/>
    </row>
    <row r="19" spans="1:12" ht="19.5" customHeight="1" x14ac:dyDescent="0.35">
      <c r="A19" s="78"/>
      <c r="B19" s="21">
        <f t="shared" ref="B19:B42" si="2">ROW()-15</f>
        <v>4</v>
      </c>
      <c r="C19" s="5"/>
      <c r="D19" s="94" t="s">
        <v>76</v>
      </c>
      <c r="E19" s="5" t="s">
        <v>72</v>
      </c>
      <c r="F19" s="101">
        <v>1998</v>
      </c>
      <c r="G19" s="105">
        <v>46148</v>
      </c>
      <c r="H19" s="95">
        <v>0.92200000000000004</v>
      </c>
      <c r="I19" s="96">
        <f t="shared" si="0"/>
        <v>1842.1560000000002</v>
      </c>
      <c r="J19" s="96">
        <f t="shared" si="1"/>
        <v>55.264680000000006</v>
      </c>
      <c r="K19" s="22">
        <v>0.03</v>
      </c>
      <c r="L19" s="82"/>
    </row>
    <row r="20" spans="1:12" ht="19.5" customHeight="1" x14ac:dyDescent="0.35">
      <c r="A20" s="78"/>
      <c r="B20" s="21">
        <f t="shared" si="2"/>
        <v>5</v>
      </c>
      <c r="C20" s="5"/>
      <c r="D20" s="94" t="s">
        <v>74</v>
      </c>
      <c r="E20" s="5" t="s">
        <v>75</v>
      </c>
      <c r="F20" s="101">
        <v>2000</v>
      </c>
      <c r="G20" s="105">
        <v>46148</v>
      </c>
      <c r="H20" s="95">
        <v>0.307</v>
      </c>
      <c r="I20" s="96">
        <f t="shared" si="0"/>
        <v>614</v>
      </c>
      <c r="J20" s="96">
        <f t="shared" si="1"/>
        <v>18.419999999999998</v>
      </c>
      <c r="K20" s="22">
        <v>0.03</v>
      </c>
      <c r="L20" s="82"/>
    </row>
    <row r="21" spans="1:12" ht="19.5" customHeight="1" x14ac:dyDescent="0.35">
      <c r="A21" s="78"/>
      <c r="B21" s="21">
        <f t="shared" si="2"/>
        <v>6</v>
      </c>
      <c r="C21" s="5"/>
      <c r="D21" s="94" t="s">
        <v>73</v>
      </c>
      <c r="E21" s="5" t="s">
        <v>72</v>
      </c>
      <c r="F21" s="101">
        <v>2002</v>
      </c>
      <c r="G21" s="105">
        <v>46150</v>
      </c>
      <c r="H21" s="95">
        <v>0.92200000000000004</v>
      </c>
      <c r="I21" s="96">
        <f t="shared" si="0"/>
        <v>1845.8440000000001</v>
      </c>
      <c r="J21" s="96">
        <f t="shared" si="1"/>
        <v>55.375320000000002</v>
      </c>
      <c r="K21" s="22">
        <v>0.03</v>
      </c>
      <c r="L21" s="82"/>
    </row>
    <row r="22" spans="1:12" ht="19.5" customHeight="1" x14ac:dyDescent="0.35">
      <c r="A22" s="78"/>
      <c r="B22" s="21">
        <f t="shared" si="2"/>
        <v>7</v>
      </c>
      <c r="C22" s="5"/>
      <c r="D22" s="94" t="s">
        <v>74</v>
      </c>
      <c r="E22" s="5" t="s">
        <v>75</v>
      </c>
      <c r="F22" s="101">
        <v>2000</v>
      </c>
      <c r="G22" s="105">
        <v>46150</v>
      </c>
      <c r="H22" s="95">
        <v>0.307</v>
      </c>
      <c r="I22" s="96">
        <f t="shared" si="0"/>
        <v>614</v>
      </c>
      <c r="J22" s="96">
        <f t="shared" si="1"/>
        <v>18.419999999999998</v>
      </c>
      <c r="K22" s="22">
        <v>0.03</v>
      </c>
      <c r="L22" s="82"/>
    </row>
    <row r="23" spans="1:12" ht="19.5" customHeight="1" x14ac:dyDescent="0.35">
      <c r="A23" s="78"/>
      <c r="B23" s="21">
        <f t="shared" si="2"/>
        <v>8</v>
      </c>
      <c r="C23" s="5"/>
      <c r="D23" s="94" t="s">
        <v>73</v>
      </c>
      <c r="E23" s="5" t="s">
        <v>72</v>
      </c>
      <c r="F23" s="101">
        <v>4000</v>
      </c>
      <c r="G23" s="105">
        <v>46154</v>
      </c>
      <c r="H23" s="95">
        <v>0.92200000000000004</v>
      </c>
      <c r="I23" s="96">
        <f t="shared" si="0"/>
        <v>3688</v>
      </c>
      <c r="J23" s="96">
        <f t="shared" si="1"/>
        <v>110.64</v>
      </c>
      <c r="K23" s="22">
        <v>0.03</v>
      </c>
      <c r="L23" s="82"/>
    </row>
    <row r="24" spans="1:12" ht="19.5" customHeight="1" x14ac:dyDescent="0.35">
      <c r="A24" s="78"/>
      <c r="B24" s="21">
        <f t="shared" si="2"/>
        <v>9</v>
      </c>
      <c r="C24" s="5"/>
      <c r="D24" s="94" t="s">
        <v>74</v>
      </c>
      <c r="E24" s="5" t="s">
        <v>75</v>
      </c>
      <c r="F24" s="101">
        <v>4000</v>
      </c>
      <c r="G24" s="105">
        <v>46154</v>
      </c>
      <c r="H24" s="95">
        <v>0.307</v>
      </c>
      <c r="I24" s="96">
        <f t="shared" si="0"/>
        <v>1228</v>
      </c>
      <c r="J24" s="96">
        <f t="shared" si="1"/>
        <v>36.839999999999996</v>
      </c>
      <c r="K24" s="22">
        <v>0.03</v>
      </c>
      <c r="L24" s="82"/>
    </row>
    <row r="25" spans="1:12" ht="19.5" customHeight="1" x14ac:dyDescent="0.35">
      <c r="A25" s="78"/>
      <c r="B25" s="21">
        <f t="shared" si="2"/>
        <v>10</v>
      </c>
      <c r="C25" s="5"/>
      <c r="D25" s="94" t="s">
        <v>73</v>
      </c>
      <c r="E25" s="5" t="s">
        <v>72</v>
      </c>
      <c r="F25" s="101">
        <v>3970</v>
      </c>
      <c r="G25" s="105">
        <v>46157</v>
      </c>
      <c r="H25" s="95">
        <v>0.92200000000000004</v>
      </c>
      <c r="I25" s="96">
        <f t="shared" si="0"/>
        <v>3660.34</v>
      </c>
      <c r="J25" s="96">
        <f t="shared" si="1"/>
        <v>109.81019999999999</v>
      </c>
      <c r="K25" s="22">
        <v>0.03</v>
      </c>
      <c r="L25" s="82"/>
    </row>
    <row r="26" spans="1:12" ht="19.5" customHeight="1" x14ac:dyDescent="0.35">
      <c r="A26" s="78"/>
      <c r="B26" s="21">
        <f t="shared" si="2"/>
        <v>11</v>
      </c>
      <c r="C26" s="5"/>
      <c r="D26" s="94" t="s">
        <v>74</v>
      </c>
      <c r="E26" s="5" t="s">
        <v>75</v>
      </c>
      <c r="F26" s="102">
        <v>4000</v>
      </c>
      <c r="G26" s="106">
        <v>46157</v>
      </c>
      <c r="H26" s="95">
        <v>0.307</v>
      </c>
      <c r="I26" s="97">
        <f t="shared" si="0"/>
        <v>1228</v>
      </c>
      <c r="J26" s="97">
        <f t="shared" si="1"/>
        <v>36.839999999999996</v>
      </c>
      <c r="K26" s="22">
        <v>0.03</v>
      </c>
      <c r="L26" s="82"/>
    </row>
    <row r="27" spans="1:12" ht="19.5" customHeight="1" x14ac:dyDescent="0.35">
      <c r="A27" s="78"/>
      <c r="B27" s="21">
        <f t="shared" si="2"/>
        <v>12</v>
      </c>
      <c r="C27" s="5"/>
      <c r="D27" s="94" t="s">
        <v>73</v>
      </c>
      <c r="E27" s="5" t="s">
        <v>72</v>
      </c>
      <c r="F27" s="103">
        <v>4000</v>
      </c>
      <c r="G27" s="107">
        <v>46160</v>
      </c>
      <c r="H27" s="95">
        <v>0.92200000000000004</v>
      </c>
      <c r="I27" s="97">
        <f t="shared" si="0"/>
        <v>3688</v>
      </c>
      <c r="J27" s="97">
        <f t="shared" si="1"/>
        <v>110.64</v>
      </c>
      <c r="K27" s="22">
        <v>0.03</v>
      </c>
      <c r="L27" s="82"/>
    </row>
    <row r="28" spans="1:12" ht="19.5" customHeight="1" x14ac:dyDescent="0.35">
      <c r="A28" s="78"/>
      <c r="B28" s="21">
        <f t="shared" si="2"/>
        <v>13</v>
      </c>
      <c r="C28" s="5"/>
      <c r="D28" s="94" t="s">
        <v>74</v>
      </c>
      <c r="E28" s="5" t="s">
        <v>75</v>
      </c>
      <c r="F28" s="103">
        <v>4000</v>
      </c>
      <c r="G28" s="107">
        <v>46160</v>
      </c>
      <c r="H28" s="95">
        <v>0.307</v>
      </c>
      <c r="I28" s="97">
        <f t="shared" si="0"/>
        <v>1228</v>
      </c>
      <c r="J28" s="110">
        <f t="shared" si="1"/>
        <v>36.839999999999996</v>
      </c>
      <c r="K28" s="22">
        <v>0.03</v>
      </c>
      <c r="L28" s="82"/>
    </row>
    <row r="29" spans="1:12" ht="19.5" customHeight="1" x14ac:dyDescent="0.35">
      <c r="A29" s="78"/>
      <c r="B29" s="21">
        <f t="shared" si="2"/>
        <v>14</v>
      </c>
      <c r="C29" s="5"/>
      <c r="D29" s="94" t="s">
        <v>73</v>
      </c>
      <c r="E29" s="5" t="s">
        <v>72</v>
      </c>
      <c r="F29" s="104">
        <v>4000</v>
      </c>
      <c r="G29" s="108">
        <v>46162</v>
      </c>
      <c r="H29" s="95">
        <v>0.92200000000000004</v>
      </c>
      <c r="I29" s="97">
        <f t="shared" si="0"/>
        <v>3688</v>
      </c>
      <c r="J29" s="98">
        <f t="shared" si="1"/>
        <v>110.64</v>
      </c>
      <c r="K29" s="22">
        <v>0.03</v>
      </c>
      <c r="L29" s="82"/>
    </row>
    <row r="30" spans="1:12" ht="19.5" customHeight="1" x14ac:dyDescent="0.35">
      <c r="A30" s="78"/>
      <c r="B30" s="21">
        <f t="shared" si="2"/>
        <v>15</v>
      </c>
      <c r="C30" s="5"/>
      <c r="D30" s="94" t="s">
        <v>74</v>
      </c>
      <c r="E30" s="5" t="s">
        <v>75</v>
      </c>
      <c r="F30" s="101">
        <v>4000</v>
      </c>
      <c r="G30" s="105">
        <v>46162</v>
      </c>
      <c r="H30" s="95">
        <v>0.307</v>
      </c>
      <c r="I30" s="96">
        <f t="shared" ref="I30:I42" si="3">IF(F30*H30=0,"",F30*H30)</f>
        <v>1228</v>
      </c>
      <c r="J30" s="96">
        <f t="shared" si="1"/>
        <v>36.839999999999996</v>
      </c>
      <c r="K30" s="22">
        <v>0.03</v>
      </c>
      <c r="L30" s="82"/>
    </row>
    <row r="31" spans="1:12" ht="19.5" customHeight="1" x14ac:dyDescent="0.35">
      <c r="A31" s="78"/>
      <c r="B31" s="21">
        <f t="shared" si="2"/>
        <v>16</v>
      </c>
      <c r="C31" s="5"/>
      <c r="D31" s="94" t="s">
        <v>73</v>
      </c>
      <c r="E31" s="5" t="s">
        <v>72</v>
      </c>
      <c r="F31" s="101">
        <v>3000</v>
      </c>
      <c r="G31" s="105">
        <v>46163</v>
      </c>
      <c r="H31" s="95">
        <v>0.92200000000000004</v>
      </c>
      <c r="I31" s="96">
        <f t="shared" si="3"/>
        <v>2766</v>
      </c>
      <c r="J31" s="96">
        <f t="shared" si="1"/>
        <v>82.98</v>
      </c>
      <c r="K31" s="22">
        <v>0.03</v>
      </c>
      <c r="L31" s="82"/>
    </row>
    <row r="32" spans="1:12" ht="19.5" customHeight="1" x14ac:dyDescent="0.35">
      <c r="A32" s="78"/>
      <c r="B32" s="21">
        <f t="shared" si="2"/>
        <v>17</v>
      </c>
      <c r="C32" s="5"/>
      <c r="D32" s="94" t="s">
        <v>74</v>
      </c>
      <c r="E32" s="5" t="s">
        <v>75</v>
      </c>
      <c r="F32" s="101">
        <v>3000</v>
      </c>
      <c r="G32" s="105">
        <v>46163</v>
      </c>
      <c r="H32" s="95">
        <v>0.307</v>
      </c>
      <c r="I32" s="96">
        <f t="shared" si="3"/>
        <v>921</v>
      </c>
      <c r="J32" s="96">
        <f t="shared" si="1"/>
        <v>27.63</v>
      </c>
      <c r="K32" s="22">
        <v>0.03</v>
      </c>
      <c r="L32" s="82"/>
    </row>
    <row r="33" spans="1:12" ht="19.5" customHeight="1" x14ac:dyDescent="0.35">
      <c r="A33" s="78"/>
      <c r="B33" s="21">
        <f t="shared" si="2"/>
        <v>18</v>
      </c>
      <c r="C33" s="5"/>
      <c r="D33" s="94" t="s">
        <v>73</v>
      </c>
      <c r="E33" s="5" t="s">
        <v>72</v>
      </c>
      <c r="F33" s="101">
        <v>8900</v>
      </c>
      <c r="G33" s="105">
        <v>46167</v>
      </c>
      <c r="H33" s="95">
        <v>0.92200000000000004</v>
      </c>
      <c r="I33" s="96">
        <f t="shared" si="3"/>
        <v>8205.8000000000011</v>
      </c>
      <c r="J33" s="96">
        <f t="shared" si="1"/>
        <v>246.17400000000004</v>
      </c>
      <c r="K33" s="22">
        <v>0.03</v>
      </c>
      <c r="L33" s="82"/>
    </row>
    <row r="34" spans="1:12" ht="19.5" customHeight="1" x14ac:dyDescent="0.35">
      <c r="A34" s="78"/>
      <c r="B34" s="21">
        <f t="shared" si="2"/>
        <v>19</v>
      </c>
      <c r="C34" s="5"/>
      <c r="D34" s="94" t="s">
        <v>74</v>
      </c>
      <c r="E34" s="5" t="s">
        <v>75</v>
      </c>
      <c r="F34" s="101">
        <v>8900</v>
      </c>
      <c r="G34" s="105">
        <v>46167</v>
      </c>
      <c r="H34" s="95">
        <v>0.307</v>
      </c>
      <c r="I34" s="96">
        <f t="shared" si="3"/>
        <v>2732.3</v>
      </c>
      <c r="J34" s="96">
        <f t="shared" si="1"/>
        <v>81.969000000000008</v>
      </c>
      <c r="K34" s="22">
        <v>0.03</v>
      </c>
      <c r="L34" s="82"/>
    </row>
    <row r="35" spans="1:12" ht="19.5" customHeight="1" x14ac:dyDescent="0.35">
      <c r="A35" s="78"/>
      <c r="B35" s="21">
        <f t="shared" si="2"/>
        <v>20</v>
      </c>
      <c r="C35" s="5"/>
      <c r="D35" s="94" t="s">
        <v>73</v>
      </c>
      <c r="E35" s="5" t="s">
        <v>72</v>
      </c>
      <c r="F35" s="101">
        <v>7000</v>
      </c>
      <c r="G35" s="105">
        <v>46169</v>
      </c>
      <c r="H35" s="95">
        <v>0.92200000000000004</v>
      </c>
      <c r="I35" s="96">
        <f t="shared" si="3"/>
        <v>6454</v>
      </c>
      <c r="J35" s="96">
        <f t="shared" si="1"/>
        <v>193.62</v>
      </c>
      <c r="K35" s="22">
        <v>0.03</v>
      </c>
      <c r="L35" s="82"/>
    </row>
    <row r="36" spans="1:12" ht="19.5" customHeight="1" x14ac:dyDescent="0.35">
      <c r="A36" s="78"/>
      <c r="B36" s="21">
        <f t="shared" si="2"/>
        <v>21</v>
      </c>
      <c r="C36" s="5"/>
      <c r="D36" s="94" t="s">
        <v>74</v>
      </c>
      <c r="E36" s="5" t="s">
        <v>75</v>
      </c>
      <c r="F36" s="101">
        <v>7000</v>
      </c>
      <c r="G36" s="105">
        <v>46169</v>
      </c>
      <c r="H36" s="95">
        <v>0.307</v>
      </c>
      <c r="I36" s="96">
        <f t="shared" si="3"/>
        <v>2149</v>
      </c>
      <c r="J36" s="96">
        <f t="shared" si="1"/>
        <v>64.47</v>
      </c>
      <c r="K36" s="22">
        <v>0.03</v>
      </c>
      <c r="L36" s="82"/>
    </row>
    <row r="37" spans="1:12" ht="19.5" customHeight="1" x14ac:dyDescent="0.35">
      <c r="A37" s="78"/>
      <c r="B37" s="21">
        <f t="shared" si="2"/>
        <v>22</v>
      </c>
      <c r="C37" s="5"/>
      <c r="D37" s="94" t="s">
        <v>73</v>
      </c>
      <c r="E37" s="5" t="s">
        <v>72</v>
      </c>
      <c r="F37" s="101">
        <v>8200</v>
      </c>
      <c r="G37" s="105">
        <v>46171</v>
      </c>
      <c r="H37" s="95">
        <v>0.92200000000000004</v>
      </c>
      <c r="I37" s="96">
        <f t="shared" si="3"/>
        <v>7560.4000000000005</v>
      </c>
      <c r="J37" s="96">
        <f t="shared" si="1"/>
        <v>226.81200000000001</v>
      </c>
      <c r="K37" s="22">
        <v>0.03</v>
      </c>
      <c r="L37" s="82"/>
    </row>
    <row r="38" spans="1:12" ht="19.5" customHeight="1" x14ac:dyDescent="0.35">
      <c r="A38" s="78"/>
      <c r="B38" s="21">
        <f t="shared" si="2"/>
        <v>23</v>
      </c>
      <c r="C38" s="5"/>
      <c r="D38" s="94" t="s">
        <v>74</v>
      </c>
      <c r="E38" s="5" t="s">
        <v>75</v>
      </c>
      <c r="F38" s="101">
        <v>8200</v>
      </c>
      <c r="G38" s="105">
        <v>46171</v>
      </c>
      <c r="H38" s="95">
        <v>0.307</v>
      </c>
      <c r="I38" s="96">
        <f t="shared" si="3"/>
        <v>2517.4</v>
      </c>
      <c r="J38" s="96">
        <f t="shared" si="1"/>
        <v>75.522000000000006</v>
      </c>
      <c r="K38" s="22">
        <v>0.03</v>
      </c>
      <c r="L38" s="82"/>
    </row>
    <row r="39" spans="1:12" ht="19.5" customHeight="1" x14ac:dyDescent="0.35">
      <c r="A39" s="78"/>
      <c r="B39" s="21">
        <f t="shared" si="2"/>
        <v>24</v>
      </c>
      <c r="C39" s="5"/>
      <c r="D39" s="94"/>
      <c r="E39" s="5"/>
      <c r="F39" s="101"/>
      <c r="G39" s="105"/>
      <c r="H39" s="95"/>
      <c r="I39" s="96" t="str">
        <f t="shared" si="3"/>
        <v/>
      </c>
      <c r="J39" s="96" t="str">
        <f t="shared" si="1"/>
        <v/>
      </c>
      <c r="K39" s="22"/>
      <c r="L39" s="82"/>
    </row>
    <row r="40" spans="1:12" ht="19.5" customHeight="1" x14ac:dyDescent="0.35">
      <c r="A40" s="78"/>
      <c r="B40" s="21">
        <f t="shared" si="2"/>
        <v>25</v>
      </c>
      <c r="C40" s="5"/>
      <c r="D40" s="94"/>
      <c r="E40" s="5"/>
      <c r="F40" s="101"/>
      <c r="G40" s="105"/>
      <c r="H40" s="95"/>
      <c r="I40" s="96" t="str">
        <f t="shared" si="3"/>
        <v/>
      </c>
      <c r="J40" s="96" t="str">
        <f t="shared" si="1"/>
        <v/>
      </c>
      <c r="K40" s="22"/>
      <c r="L40" s="82"/>
    </row>
    <row r="41" spans="1:12" ht="19.5" customHeight="1" x14ac:dyDescent="0.35">
      <c r="A41" s="78"/>
      <c r="B41" s="21">
        <f t="shared" si="2"/>
        <v>26</v>
      </c>
      <c r="C41" s="5"/>
      <c r="D41" s="94"/>
      <c r="E41" s="5"/>
      <c r="F41" s="101"/>
      <c r="G41" s="105"/>
      <c r="H41" s="95"/>
      <c r="I41" s="96" t="str">
        <f t="shared" si="3"/>
        <v/>
      </c>
      <c r="J41" s="96" t="str">
        <f t="shared" si="1"/>
        <v/>
      </c>
      <c r="K41" s="22"/>
      <c r="L41" s="82"/>
    </row>
    <row r="42" spans="1:12" ht="19.5" customHeight="1" x14ac:dyDescent="0.35">
      <c r="A42" s="78"/>
      <c r="B42" s="21">
        <f t="shared" si="2"/>
        <v>27</v>
      </c>
      <c r="C42" s="5"/>
      <c r="D42" s="94"/>
      <c r="E42" s="5"/>
      <c r="F42" s="101"/>
      <c r="G42" s="105"/>
      <c r="H42" s="95"/>
      <c r="I42" s="96" t="str">
        <f t="shared" si="3"/>
        <v/>
      </c>
      <c r="J42" s="96" t="str">
        <f t="shared" si="1"/>
        <v/>
      </c>
      <c r="K42" s="22"/>
      <c r="L42" s="82"/>
    </row>
    <row r="43" spans="1:12" ht="25" customHeight="1" thickBot="1" x14ac:dyDescent="0.4">
      <c r="A43" s="78"/>
      <c r="E43" s="38" t="s">
        <v>17</v>
      </c>
      <c r="F43" s="109">
        <f>IF(SUMIF(F17:F42,"&lt;&gt;")=0,"",SUMIF(F17:F42,"&lt;&gt;"))</f>
        <v>98170</v>
      </c>
      <c r="G43" s="39" t="s">
        <v>68</v>
      </c>
      <c r="H43" s="40" t="s">
        <v>14</v>
      </c>
      <c r="I43" s="99">
        <f>IF(SUM(I17:I42)="","",SUM(I17:I42))</f>
        <v>60316.240000000005</v>
      </c>
      <c r="J43" s="100">
        <f>IF(SUM(J17:J42)="","",SUM(J17:J42))</f>
        <v>1809.4872</v>
      </c>
      <c r="K43" s="51"/>
      <c r="L43" s="82"/>
    </row>
    <row r="44" spans="1:12" ht="19.5" customHeight="1" x14ac:dyDescent="0.35">
      <c r="A44" s="78"/>
      <c r="L44" s="82"/>
    </row>
    <row r="45" spans="1:12" ht="20.5" customHeight="1" x14ac:dyDescent="0.7">
      <c r="A45" s="78"/>
      <c r="I45" s="41" t="s">
        <v>37</v>
      </c>
      <c r="J45" s="130">
        <f>IF(J43="","",I43-J43)</f>
        <v>58506.752800000002</v>
      </c>
      <c r="K45" s="52" t="s">
        <v>40</v>
      </c>
      <c r="L45" s="82"/>
    </row>
    <row r="46" spans="1:12" ht="20.5" customHeight="1" thickBot="1" x14ac:dyDescent="0.5">
      <c r="A46" s="78"/>
      <c r="I46" s="42" t="s">
        <v>38</v>
      </c>
      <c r="J46" s="131"/>
      <c r="K46" s="44" t="s">
        <v>41</v>
      </c>
      <c r="L46" s="82"/>
    </row>
    <row r="47" spans="1:12" ht="12.65" customHeight="1" thickTop="1" x14ac:dyDescent="0.35">
      <c r="A47" s="78"/>
      <c r="L47" s="82"/>
    </row>
    <row r="48" spans="1:12" s="14" customFormat="1" ht="19" customHeight="1" x14ac:dyDescent="0.6">
      <c r="A48" s="83"/>
      <c r="B48" s="43" t="s">
        <v>42</v>
      </c>
      <c r="C48" s="132" t="s">
        <v>71</v>
      </c>
      <c r="D48" s="132"/>
      <c r="E48" s="132"/>
      <c r="F48" s="44"/>
      <c r="G48" s="45" t="s">
        <v>46</v>
      </c>
      <c r="H48" s="134"/>
      <c r="I48" s="134"/>
      <c r="J48" s="134"/>
      <c r="K48" s="134"/>
      <c r="L48" s="89"/>
    </row>
    <row r="49" spans="1:12" ht="19" customHeight="1" x14ac:dyDescent="0.35">
      <c r="A49" s="78"/>
      <c r="B49" s="2" t="s">
        <v>43</v>
      </c>
      <c r="C49" s="133"/>
      <c r="D49" s="133"/>
      <c r="E49" s="133"/>
      <c r="F49" s="28"/>
      <c r="G49" s="46" t="s">
        <v>47</v>
      </c>
      <c r="H49" s="135"/>
      <c r="I49" s="135"/>
      <c r="J49" s="135"/>
      <c r="K49" s="135"/>
      <c r="L49" s="89"/>
    </row>
    <row r="50" spans="1:12" s="14" customFormat="1" ht="19" customHeight="1" x14ac:dyDescent="0.6">
      <c r="A50" s="83"/>
      <c r="B50" s="43" t="s">
        <v>45</v>
      </c>
      <c r="C50" s="136">
        <v>46174</v>
      </c>
      <c r="D50" s="136"/>
      <c r="E50" s="136"/>
      <c r="F50" s="29"/>
      <c r="G50" s="45" t="s">
        <v>45</v>
      </c>
      <c r="H50" s="134"/>
      <c r="I50" s="134"/>
      <c r="J50" s="134"/>
      <c r="K50" s="134"/>
      <c r="L50" s="82"/>
    </row>
    <row r="51" spans="1:12" ht="19" customHeight="1" x14ac:dyDescent="0.35">
      <c r="A51" s="78"/>
      <c r="B51" s="2" t="s">
        <v>44</v>
      </c>
      <c r="C51" s="137"/>
      <c r="D51" s="137"/>
      <c r="E51" s="137"/>
      <c r="F51" s="28"/>
      <c r="G51" s="46" t="s">
        <v>44</v>
      </c>
      <c r="H51" s="135"/>
      <c r="I51" s="135"/>
      <c r="J51" s="135"/>
      <c r="K51" s="135"/>
      <c r="L51" s="82"/>
    </row>
    <row r="52" spans="1:12" x14ac:dyDescent="0.35">
      <c r="A52" s="78"/>
      <c r="F52" s="12"/>
      <c r="G52" s="12"/>
      <c r="L52" s="82"/>
    </row>
    <row r="53" spans="1:12" ht="20" x14ac:dyDescent="0.6">
      <c r="A53" s="78"/>
      <c r="B53" s="111" t="s">
        <v>53</v>
      </c>
      <c r="C53" s="112"/>
      <c r="D53" s="23"/>
      <c r="E53" s="7"/>
      <c r="F53" s="7"/>
      <c r="G53" s="7"/>
      <c r="H53" s="7"/>
      <c r="I53" s="7"/>
      <c r="J53" s="7"/>
      <c r="K53" s="8"/>
      <c r="L53" s="82"/>
    </row>
    <row r="54" spans="1:12" ht="18.5" x14ac:dyDescent="0.45">
      <c r="A54" s="78"/>
      <c r="B54" s="3"/>
      <c r="C54" s="47"/>
      <c r="D54" s="47"/>
      <c r="K54" s="9"/>
      <c r="L54" s="82"/>
    </row>
    <row r="55" spans="1:12" ht="18.5" x14ac:dyDescent="0.45">
      <c r="A55" s="78"/>
      <c r="B55" s="3"/>
      <c r="C55" s="47"/>
      <c r="D55" s="47"/>
      <c r="K55" s="9"/>
      <c r="L55" s="82"/>
    </row>
    <row r="56" spans="1:12" ht="18.5" x14ac:dyDescent="0.45">
      <c r="A56" s="78"/>
      <c r="B56" s="3"/>
      <c r="C56" s="47"/>
      <c r="D56" s="47"/>
      <c r="K56" s="9"/>
      <c r="L56" s="82"/>
    </row>
    <row r="57" spans="1:12" x14ac:dyDescent="0.35">
      <c r="A57" s="78"/>
      <c r="B57" s="10"/>
      <c r="K57" s="9"/>
      <c r="L57" s="82"/>
    </row>
    <row r="58" spans="1:12" ht="15.5" x14ac:dyDescent="0.35">
      <c r="A58" s="78"/>
      <c r="B58" s="11"/>
      <c r="C58" s="12"/>
      <c r="D58" s="12"/>
      <c r="E58" s="12"/>
      <c r="F58" s="12"/>
      <c r="G58" s="12"/>
      <c r="H58" s="12"/>
      <c r="I58" s="12"/>
      <c r="J58" s="12"/>
      <c r="K58" s="13"/>
      <c r="L58" s="82"/>
    </row>
    <row r="59" spans="1:12" s="14" customFormat="1" ht="20" x14ac:dyDescent="0.6">
      <c r="A59" s="83"/>
      <c r="B59" s="48" t="s">
        <v>51</v>
      </c>
      <c r="L59" s="84"/>
    </row>
    <row r="60" spans="1:12" s="14" customFormat="1" ht="17.5" x14ac:dyDescent="0.55000000000000004">
      <c r="A60" s="83"/>
      <c r="B60" s="49" t="s">
        <v>67</v>
      </c>
      <c r="C60" s="49"/>
      <c r="D60" s="49"/>
      <c r="L60" s="84"/>
    </row>
    <row r="61" spans="1:12" x14ac:dyDescent="0.35">
      <c r="A61" s="78"/>
      <c r="B61" s="50" t="s">
        <v>50</v>
      </c>
      <c r="C61" s="50"/>
      <c r="D61" s="50"/>
      <c r="L61" s="82"/>
    </row>
    <row r="62" spans="1:12" x14ac:dyDescent="0.35">
      <c r="A62" s="78"/>
      <c r="B62" s="50" t="s">
        <v>49</v>
      </c>
      <c r="C62" s="50"/>
      <c r="D62" s="50"/>
      <c r="L62" s="82"/>
    </row>
    <row r="63" spans="1:12" ht="15" thickBot="1" x14ac:dyDescent="0.4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2"/>
    </row>
  </sheetData>
  <sheetProtection insertRows="0"/>
  <mergeCells count="21">
    <mergeCell ref="B2:K2"/>
    <mergeCell ref="B3:K3"/>
    <mergeCell ref="F5:G6"/>
    <mergeCell ref="I5:I6"/>
    <mergeCell ref="B8:C8"/>
    <mergeCell ref="H8:K9"/>
    <mergeCell ref="B9:C9"/>
    <mergeCell ref="D8:F9"/>
    <mergeCell ref="B53:C53"/>
    <mergeCell ref="B10:C10"/>
    <mergeCell ref="D10:K11"/>
    <mergeCell ref="B11:C11"/>
    <mergeCell ref="B12:C12"/>
    <mergeCell ref="H12:K13"/>
    <mergeCell ref="B13:C13"/>
    <mergeCell ref="D12:F13"/>
    <mergeCell ref="J45:J46"/>
    <mergeCell ref="C48:E49"/>
    <mergeCell ref="H48:K49"/>
    <mergeCell ref="C50:E51"/>
    <mergeCell ref="H50:K51"/>
  </mergeCells>
  <printOptions horizontalCentered="1"/>
  <pageMargins left="0.15" right="0.15" top="0.25" bottom="0.25" header="0.25" footer="0.05"/>
  <pageSetup paperSize="9" scale="57" fitToHeight="0" orientation="portrait" r:id="rId1"/>
  <colBreaks count="1" manualBreakCount="1">
    <brk id="12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BBF8CF-2AAC-4FC3-B15C-49180855D04E}">
          <x14:formula1>
            <xm:f>'เดือน Month'!$A$2:$A$13</xm:f>
          </x14:formula1>
          <xm:sqref>F5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480A-238A-4DCC-BD62-77F97AE5F858}">
  <dimension ref="A1:B13"/>
  <sheetViews>
    <sheetView zoomScale="168" zoomScaleNormal="168" workbookViewId="0">
      <selection activeCell="B21" sqref="B21"/>
    </sheetView>
  </sheetViews>
  <sheetFormatPr defaultRowHeight="14.5" x14ac:dyDescent="0.35"/>
  <cols>
    <col min="1" max="1" width="28.26953125" customWidth="1"/>
  </cols>
  <sheetData>
    <row r="1" spans="1:2" x14ac:dyDescent="0.35">
      <c r="A1" s="1" t="s">
        <v>18</v>
      </c>
      <c r="B1" s="1"/>
    </row>
    <row r="2" spans="1:2" ht="17.5" x14ac:dyDescent="0.55000000000000004">
      <c r="A2" s="16" t="s">
        <v>20</v>
      </c>
    </row>
    <row r="3" spans="1:2" ht="17.5" x14ac:dyDescent="0.55000000000000004">
      <c r="A3" s="16" t="s">
        <v>22</v>
      </c>
    </row>
    <row r="4" spans="1:2" ht="17.5" x14ac:dyDescent="0.55000000000000004">
      <c r="A4" s="16" t="s">
        <v>21</v>
      </c>
    </row>
    <row r="5" spans="1:2" ht="17.5" x14ac:dyDescent="0.55000000000000004">
      <c r="A5" s="16" t="s">
        <v>23</v>
      </c>
    </row>
    <row r="6" spans="1:2" ht="17.5" x14ac:dyDescent="0.55000000000000004">
      <c r="A6" s="16" t="s">
        <v>24</v>
      </c>
    </row>
    <row r="7" spans="1:2" ht="17.5" x14ac:dyDescent="0.55000000000000004">
      <c r="A7" s="16" t="s">
        <v>25</v>
      </c>
    </row>
    <row r="8" spans="1:2" ht="17.5" x14ac:dyDescent="0.55000000000000004">
      <c r="A8" s="16" t="s">
        <v>26</v>
      </c>
    </row>
    <row r="9" spans="1:2" ht="17.5" x14ac:dyDescent="0.55000000000000004">
      <c r="A9" s="16" t="s">
        <v>27</v>
      </c>
    </row>
    <row r="10" spans="1:2" ht="17.5" x14ac:dyDescent="0.55000000000000004">
      <c r="A10" s="16" t="s">
        <v>28</v>
      </c>
    </row>
    <row r="11" spans="1:2" ht="17.5" x14ac:dyDescent="0.55000000000000004">
      <c r="A11" s="16" t="s">
        <v>52</v>
      </c>
    </row>
    <row r="12" spans="1:2" ht="17.5" x14ac:dyDescent="0.55000000000000004">
      <c r="A12" s="16" t="s">
        <v>29</v>
      </c>
    </row>
    <row r="13" spans="1:2" ht="17.5" x14ac:dyDescent="0.55000000000000004">
      <c r="A13" s="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วิธีการกรอก Guidelines </vt:lpstr>
      <vt:lpstr>สำหรับกรอกข้อมูล Form </vt:lpstr>
      <vt:lpstr>เดือน Month</vt:lpstr>
      <vt:lpstr>'วิธีการกรอก Guidelines '!Print_Area</vt:lpstr>
      <vt:lpstr>'สำหรับกรอกข้อมูล Form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2026-06-27T04:54:07Z</dcterms:modified>
</cp:coreProperties>
</file>