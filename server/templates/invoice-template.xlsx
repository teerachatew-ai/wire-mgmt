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งานบริษัท\"/>
    </mc:Choice>
  </mc:AlternateContent>
  <xr:revisionPtr revIDLastSave="0" documentId="13_ncr:1_{1CD3C2C4-76B9-4F6D-A3CD-6A03777F8CE5}" xr6:coauthVersionLast="47" xr6:coauthVersionMax="47" xr10:uidLastSave="{00000000-0000-0000-0000-000000000000}"/>
  <bookViews>
    <workbookView xWindow="-110" yWindow="-110" windowWidth="38620" windowHeight="21220" xr2:uid="{17A38327-0376-4C2B-A459-82B40440D945}"/>
  </bookViews>
  <sheets>
    <sheet name="ใบแจ้งหนี้" sheetId="1" r:id="rId1"/>
    <sheet name="สรุปใบแจ้งหนี้" sheetId="3" r:id="rId2"/>
    <sheet name="ข้อมูลสินค้า" sheetId="2" r:id="rId3"/>
    <sheet name="ข้อมูลลูกค้า" sheetId="4" r:id="rId4"/>
  </sheets>
  <definedNames>
    <definedName name="_xlnm.Print_Area" localSheetId="0">ใบแจ้งหนี้!$A$1:$K$47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41" i="1" l="1"/>
  <c r="N10" i="1" l="1"/>
  <c r="D25" i="1"/>
  <c r="C25" i="1"/>
  <c r="N6" i="1"/>
  <c r="N7" i="1"/>
  <c r="N8" i="1"/>
  <c r="N9" i="1"/>
  <c r="N11" i="1"/>
  <c r="N5" i="1"/>
  <c r="G3" i="3"/>
  <c r="H25" i="1" s="1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2" i="3"/>
  <c r="N4" i="1"/>
  <c r="E14" i="1" s="1"/>
  <c r="J6" i="1"/>
  <c r="D19" i="1" l="1"/>
  <c r="E19" i="1" s="1"/>
  <c r="D18" i="1"/>
  <c r="E18" i="1" s="1"/>
  <c r="C20" i="1"/>
  <c r="D24" i="1"/>
  <c r="C18" i="1"/>
  <c r="C19" i="1"/>
  <c r="D26" i="1" s="1"/>
  <c r="C23" i="1"/>
  <c r="C24" i="1"/>
  <c r="E24" i="1" s="1"/>
  <c r="D23" i="1"/>
  <c r="D22" i="1"/>
  <c r="C22" i="1"/>
  <c r="E22" i="1" s="1"/>
  <c r="D21" i="1"/>
  <c r="C28" i="1"/>
  <c r="I28" i="1" s="1"/>
  <c r="C21" i="1"/>
  <c r="E21" i="1" s="1"/>
  <c r="D28" i="1"/>
  <c r="H23" i="1"/>
  <c r="H28" i="1"/>
  <c r="E25" i="1"/>
  <c r="D20" i="1"/>
  <c r="H18" i="1"/>
  <c r="H19" i="1"/>
  <c r="H21" i="1"/>
  <c r="I19" i="1"/>
  <c r="H22" i="1"/>
  <c r="H24" i="1"/>
  <c r="H20" i="1"/>
  <c r="I25" i="1"/>
  <c r="J25" i="1" s="1"/>
  <c r="D12" i="1"/>
  <c r="D11" i="1"/>
  <c r="J7" i="1" s="1"/>
  <c r="D13" i="1"/>
  <c r="I24" i="1" l="1"/>
  <c r="I18" i="1"/>
  <c r="I22" i="1"/>
  <c r="J22" i="1" s="1"/>
  <c r="I21" i="1"/>
  <c r="J21" i="1" s="1"/>
  <c r="H26" i="1"/>
  <c r="E20" i="1"/>
  <c r="I20" i="1"/>
  <c r="J20" i="1" s="1"/>
  <c r="C26" i="1"/>
  <c r="E26" i="1" s="1"/>
  <c r="J28" i="1"/>
  <c r="E28" i="1"/>
  <c r="J18" i="1"/>
  <c r="I23" i="1"/>
  <c r="J23" i="1" s="1"/>
  <c r="E23" i="1"/>
  <c r="J19" i="1"/>
  <c r="J24" i="1"/>
  <c r="B18" i="1"/>
  <c r="B19" i="1" s="1"/>
  <c r="H29" i="1" l="1"/>
  <c r="D29" i="1"/>
  <c r="C29" i="1"/>
  <c r="B29" i="1" s="1"/>
  <c r="I26" i="1"/>
  <c r="J26" i="1" s="1"/>
  <c r="C27" i="1"/>
  <c r="B27" i="1" s="1"/>
  <c r="D27" i="1"/>
  <c r="H27" i="1"/>
  <c r="B20" i="1"/>
  <c r="B21" i="1" s="1"/>
  <c r="B22" i="1"/>
  <c r="B23" i="1"/>
  <c r="B24" i="1"/>
  <c r="B25" i="1"/>
  <c r="B26" i="1"/>
  <c r="B28" i="1"/>
  <c r="J9" i="1"/>
  <c r="E29" i="1" l="1"/>
  <c r="I29" i="1"/>
  <c r="J29" i="1" s="1"/>
  <c r="E27" i="1"/>
  <c r="I27" i="1"/>
  <c r="J27" i="1" s="1"/>
  <c r="J30" i="1" l="1"/>
  <c r="J31" i="1" s="1"/>
  <c r="J33" i="1" l="1"/>
</calcChain>
</file>

<file path=xl/sharedStrings.xml><?xml version="1.0" encoding="utf-8"?>
<sst xmlns="http://schemas.openxmlformats.org/spreadsheetml/2006/main" count="106" uniqueCount="79">
  <si>
    <t>วิสาหกิจชุมชนกลุ่มพัฒนาคุณภาพชีวิต ตำบลโคกม่วง</t>
  </si>
  <si>
    <t>ใบแจ้งหนี้ / ใบส่งสินค้า</t>
  </si>
  <si>
    <t>Khok Muang Subdistrict Community Enterprise for Quality of Life Development</t>
  </si>
  <si>
    <t>INVOICE / DELIVERY ORDER</t>
  </si>
  <si>
    <t>5 หมู่ 8 ตำบลโคกม่วง  อำเภอภาชี  จังหวัดพระนครศรีอยุธยา  13140</t>
  </si>
  <si>
    <t>5 Moo.8  Khokmuang , Phachi District, Phra Nakhon Si Ayutthaya 13140</t>
  </si>
  <si>
    <t>เลขประจำตัวผู้เสียภาษี / Tax ID</t>
  </si>
  <si>
    <t>099-2-00447041-2</t>
  </si>
  <si>
    <t>รหัสลูกค้า</t>
  </si>
  <si>
    <t>เลขที่ใบส่งสินค้า</t>
  </si>
  <si>
    <t>ลูกค้า / Customer</t>
  </si>
  <si>
    <t>ที่อยู่ / Address</t>
  </si>
  <si>
    <t>ลำดับ</t>
  </si>
  <si>
    <t>รหัสสินค้า</t>
  </si>
  <si>
    <t>รายการ</t>
  </si>
  <si>
    <t>จำนวนหน่วย</t>
  </si>
  <si>
    <t>ราคาต่อหน่วย</t>
  </si>
  <si>
    <t>จำนวนเงิน</t>
  </si>
  <si>
    <t>No.</t>
  </si>
  <si>
    <t>Part Number</t>
  </si>
  <si>
    <t>Description</t>
  </si>
  <si>
    <t>Delivery Quantity</t>
  </si>
  <si>
    <t>Value</t>
  </si>
  <si>
    <t>Amount</t>
  </si>
  <si>
    <t>หมายเหตุ :</t>
  </si>
  <si>
    <t>รวมยอด Grand Total</t>
  </si>
  <si>
    <t>1.กรณีชำระเงินโดยเช็คกรุณาสั่งจ่ายเช็คขีดคร่อมในนาม "วิสาหกิจชุมชนกลุ่มพัฒนาคุณภาพชีวิต ตำบลโคกม่วง" เท่านั้น</t>
  </si>
  <si>
    <t>ภาษีหัก ณ ที่จ่าย 3%</t>
  </si>
  <si>
    <t>2.สินค้าตามรายการข้างต้นแม้จะได้ส่งมอบให้แก่ผู้ซื้อแล้วก็ยังคงเป็นทรัพย์สินของผู้ขายจนกว่าผู้ซื้อจะได้ชำระเงินเรียบร้อยแล้ว</t>
  </si>
  <si>
    <t>WHT Amount 3%</t>
  </si>
  <si>
    <t>ยอดเงินสุทธิ Net Total</t>
  </si>
  <si>
    <t>ผู้รับสินค้า Received by</t>
  </si>
  <si>
    <t>ผู้ส่งสินค้า Delivery by</t>
  </si>
  <si>
    <t>วันที่ Date</t>
  </si>
  <si>
    <t>ชื่อสินค้า</t>
  </si>
  <si>
    <t>MA020-633_A</t>
  </si>
  <si>
    <t>Transportation fee</t>
  </si>
  <si>
    <t>Order Date</t>
  </si>
  <si>
    <t>APT01</t>
  </si>
  <si>
    <t>ชื่อ</t>
  </si>
  <si>
    <t>นามสกุล</t>
  </si>
  <si>
    <t>ที่อยู่</t>
  </si>
  <si>
    <t>เบอร์โทร</t>
  </si>
  <si>
    <t>รหัสผู้เสียภาษี</t>
  </si>
  <si>
    <t>บริษัท แอมฟีนอล ฟีนิกซ์ (ประเทศไทย) จำกัด (สำนักงานใหญ่)</t>
  </si>
  <si>
    <t>40/39-40,40/42-43 หมู่ที่ 5 ตำบลอุทัย อำเภออุทัย จังหวัดพระนครศรีอยุธยา 13210</t>
  </si>
  <si>
    <t>0145566000923</t>
  </si>
  <si>
    <t>เลขที่ / Invoice No.</t>
  </si>
  <si>
    <t>วันที่ / Date</t>
  </si>
  <si>
    <t xml:space="preserve">เงื่อนไขชำระ(วัน) / </t>
  </si>
  <si>
    <t>Terms</t>
  </si>
  <si>
    <t>วันครบกำหนด /</t>
  </si>
  <si>
    <t>Due Date</t>
  </si>
  <si>
    <t>Tempt</t>
  </si>
  <si>
    <t>kaikui.chen@amphenolmcp.com</t>
  </si>
  <si>
    <t>ติดต่อ / Contact</t>
  </si>
  <si>
    <t>การชำระเงิน / Payment</t>
  </si>
  <si>
    <t>Bank for Agriculture and Agricultural Co-operatives</t>
  </si>
  <si>
    <t xml:space="preserve">ธนาคารเพื่อการเกษตรและสหกรณ์การเกษตร </t>
  </si>
  <si>
    <t>ธนาคาร / Bank :</t>
  </si>
  <si>
    <t>ชื่อบัญชี / Bank Name :</t>
  </si>
  <si>
    <t>เลขที่บัญชี / Bank Account :</t>
  </si>
  <si>
    <t>020248885149</t>
  </si>
  <si>
    <t>Soonthree M.</t>
  </si>
  <si>
    <t>โครงการ</t>
  </si>
  <si>
    <t>COT091</t>
  </si>
  <si>
    <t>MA020-676_A</t>
  </si>
  <si>
    <t>9 Core Long Wire</t>
  </si>
  <si>
    <t>16 Core Short Wire</t>
  </si>
  <si>
    <t>COT092</t>
  </si>
  <si>
    <t>MA020-674</t>
  </si>
  <si>
    <t>8 Core Long Wire</t>
  </si>
  <si>
    <t>MA020-676</t>
  </si>
  <si>
    <t>9 Core Short Wire</t>
  </si>
  <si>
    <t>COT102</t>
  </si>
  <si>
    <t>5 Core Short Wire</t>
  </si>
  <si>
    <t>5 CoreLong Wire</t>
  </si>
  <si>
    <t>8 Core Short Wire</t>
  </si>
  <si>
    <t>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</si>
</sst>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87" formatCode="[$-409]d\-mmm\-yy;@"/>
    <numFmt numFmtId="188" formatCode="#,##0;\-#,##0;&quot;&quot;"/>
    <numFmt numFmtId="189" formatCode="0\ &quot; EA&quot;"/>
    <numFmt numFmtId="190" formatCode="dd\ mmm\ yyyy"/>
    <numFmt numFmtId="191" formatCode="_(* #,##0_);_(* \(#,##0\);_(* &quot;-&quot;??_);_(@_)"/>
    <numFmt numFmtId="192" formatCode="_-* #,##0.0000_-;\-* #,##0.0000_-;_-* &quot;-&quot;??_-;_-@_-"/>
    <numFmt numFmtId="193" formatCode="_-* #,##0_-;\-* #,##0_-;_-* &quot;-&quot;??_-;_-@_-"/>
  </numFmts>
  <fonts count="24" x14ac:knownFonts="1"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charset val="222"/>
      <scheme val="minor"/>
    </font>
    <font>
      <sz val="14"/>
      <color theme="3"/>
      <name val="TH Sarabun New"/>
      <family val="2"/>
    </font>
    <font>
      <sz val="16"/>
      <color theme="3"/>
      <name val="TH Sarabun New"/>
      <family val="2"/>
    </font>
    <font>
      <sz val="14"/>
      <color theme="1"/>
      <name val="TH Sarabun New"/>
      <family val="2"/>
    </font>
    <font>
      <b/>
      <sz val="14"/>
      <color theme="3"/>
      <name val="TH Sarabun New"/>
      <family val="2"/>
    </font>
    <font>
      <b/>
      <sz val="14"/>
      <color theme="1"/>
      <name val="TH Sarabun New"/>
      <family val="2"/>
    </font>
    <font>
      <b/>
      <sz val="14"/>
      <color theme="0"/>
      <name val="TH Sarabun New"/>
      <family val="2"/>
    </font>
    <font>
      <b/>
      <sz val="16"/>
      <name val="TH Sarabun New"/>
      <family val="2"/>
    </font>
    <font>
      <sz val="14"/>
      <name val="TH Sarabun New"/>
      <family val="2"/>
    </font>
    <font>
      <b/>
      <sz val="20"/>
      <name val="TH Sarabun New"/>
      <family val="2"/>
    </font>
    <font>
      <sz val="16"/>
      <name val="TH Sarabun New"/>
      <family val="2"/>
    </font>
    <font>
      <sz val="12"/>
      <name val="TH Sarabun New"/>
      <family val="2"/>
    </font>
    <font>
      <u/>
      <sz val="11"/>
      <color theme="10"/>
      <name val="Tahoma"/>
      <family val="2"/>
      <charset val="222"/>
      <scheme val="minor"/>
    </font>
    <font>
      <b/>
      <sz val="14"/>
      <name val="TH Sarabun New"/>
      <family val="2"/>
    </font>
    <font>
      <sz val="12"/>
      <color theme="1"/>
      <name val="TH Sarabun New"/>
      <family val="2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b/>
      <sz val="22"/>
      <name val="TH Sarabun New"/>
      <family val="2"/>
    </font>
    <font>
      <sz val="16"/>
      <color rgb="FF0070C0"/>
      <name val="Brush Script MT"/>
      <family val="4"/>
    </font>
    <font>
      <b/>
      <sz val="18"/>
      <name val="TH Sarabun New"/>
      <family val="2"/>
    </font>
    <font>
      <b/>
      <sz val="8"/>
      <color theme="0"/>
      <name val="TH Sarabun New"/>
      <family val="2"/>
    </font>
    <font>
      <sz val="8"/>
      <color theme="1"/>
      <name val="TH Sarabun New"/>
      <family val="2"/>
    </font>
    <font>
      <sz val="11"/>
      <color theme="1"/>
      <name val="TH Sarabun New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56082"/>
        <bgColor indexed="64"/>
      </patternFill>
    </fill>
    <fill>
      <patternFill patternType="solid">
        <fgColor theme="0"/>
        <bgColor theme="7" tint="0.79998168889431442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9D02B4"/>
        <bgColor indexed="64"/>
      </patternFill>
    </fill>
    <fill>
      <patternFill patternType="solid">
        <fgColor rgb="FF4402B4"/>
        <bgColor indexed="64"/>
      </patternFill>
    </fill>
    <fill>
      <patternFill patternType="solid">
        <fgColor rgb="FFB40272"/>
        <bgColor indexed="64"/>
      </patternFill>
    </fill>
    <fill>
      <patternFill patternType="solid">
        <fgColor rgb="FFFFFF00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hair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hair">
        <color theme="0" tint="-0.2499465926084170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indexed="64"/>
      </left>
      <right style="hair">
        <color theme="0" tint="-0.499984740745262"/>
      </right>
      <top style="hair">
        <color theme="0" tint="-0.499984740745262"/>
      </top>
      <bottom style="thin">
        <color indexed="64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thin">
        <color indexed="64"/>
      </bottom>
      <diagonal/>
    </border>
    <border>
      <left style="hair">
        <color theme="0" tint="-0.499984740745262"/>
      </left>
      <right style="thin">
        <color indexed="64"/>
      </right>
      <top style="hair">
        <color theme="0" tint="-0.499984740745262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hair">
        <color theme="0" tint="-0.499984740745262"/>
      </right>
      <top style="thin">
        <color indexed="64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thin">
        <color indexed="64"/>
      </top>
      <bottom style="hair">
        <color theme="0" tint="-0.499984740745262"/>
      </bottom>
      <diagonal/>
    </border>
    <border>
      <left style="hair">
        <color theme="0" tint="-0.499984740745262"/>
      </left>
      <right style="thin">
        <color indexed="64"/>
      </right>
      <top style="thin">
        <color indexed="64"/>
      </top>
      <bottom style="hair">
        <color theme="0" tint="-0.499984740745262"/>
      </bottom>
      <diagonal/>
    </border>
    <border>
      <left style="hair">
        <color theme="0" tint="-0.499984740745262"/>
      </left>
      <right style="thin">
        <color indexed="64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auto="1"/>
      </left>
      <right style="thin">
        <color auto="1"/>
      </right>
      <top/>
      <bottom style="hair">
        <color theme="0" tint="-0.14996795556505021"/>
      </bottom>
      <diagonal/>
    </border>
    <border>
      <left style="thin">
        <color auto="1"/>
      </left>
      <right style="thin">
        <color auto="1"/>
      </right>
      <top style="hair">
        <color theme="0" tint="-0.14996795556505021"/>
      </top>
      <bottom style="hair">
        <color theme="0" tint="-0.149967955565050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thin">
        <color indexed="64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hair">
        <color theme="0" tint="-0.499984740745262"/>
      </left>
      <right/>
      <top style="thin">
        <color indexed="64"/>
      </top>
      <bottom style="hair">
        <color theme="0" tint="-0.499984740745262"/>
      </bottom>
      <diagonal/>
    </border>
    <border>
      <left/>
      <right style="hair">
        <color theme="0" tint="-0.499984740745262"/>
      </right>
      <top style="thin">
        <color indexed="64"/>
      </top>
      <bottom style="hair">
        <color theme="0" tint="-0.499984740745262"/>
      </bottom>
      <diagonal/>
    </border>
    <border>
      <left/>
      <right/>
      <top style="thin">
        <color indexed="64"/>
      </top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thin">
        <color indexed="64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hair">
        <color theme="0" tint="-0.249977111117893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145">
    <xf numFmtId="0" fontId="0" fillId="0" borderId="0" xfId="0"/>
    <xf numFmtId="0" fontId="4" fillId="0" borderId="0" xfId="0" applyFont="1"/>
    <xf numFmtId="0" fontId="5" fillId="0" borderId="0" xfId="0" applyFont="1" applyAlignment="1">
      <alignment horizontal="right" vertical="center"/>
    </xf>
    <xf numFmtId="0" fontId="4" fillId="2" borderId="1" xfId="0" applyFont="1" applyFill="1" applyBorder="1"/>
    <xf numFmtId="0" fontId="4" fillId="2" borderId="0" xfId="0" applyFont="1" applyFill="1"/>
    <xf numFmtId="49" fontId="4" fillId="2" borderId="1" xfId="0" quotePrefix="1" applyNumberFormat="1" applyFont="1" applyFill="1" applyBorder="1" applyAlignment="1">
      <alignment vertical="center"/>
    </xf>
    <xf numFmtId="14" fontId="4" fillId="2" borderId="1" xfId="0" quotePrefix="1" applyNumberFormat="1" applyFont="1" applyFill="1" applyBorder="1" applyAlignment="1">
      <alignment horizontal="left" vertical="center"/>
    </xf>
    <xf numFmtId="188" fontId="4" fillId="2" borderId="1" xfId="0" applyNumberFormat="1" applyFont="1" applyFill="1" applyBorder="1"/>
    <xf numFmtId="187" fontId="4" fillId="2" borderId="1" xfId="0" applyNumberFormat="1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189" fontId="4" fillId="2" borderId="10" xfId="0" applyNumberFormat="1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right" vertical="center" indent="1"/>
    </xf>
    <xf numFmtId="0" fontId="4" fillId="0" borderId="3" xfId="0" applyFont="1" applyBorder="1"/>
    <xf numFmtId="0" fontId="4" fillId="2" borderId="0" xfId="0" applyFont="1" applyFill="1" applyAlignment="1">
      <alignment horizontal="center"/>
    </xf>
    <xf numFmtId="0" fontId="4" fillId="4" borderId="16" xfId="0" applyFont="1" applyFill="1" applyBorder="1" applyAlignment="1">
      <alignment horizontal="center" vertical="center"/>
    </xf>
    <xf numFmtId="43" fontId="4" fillId="4" borderId="18" xfId="1" applyFont="1" applyFill="1" applyBorder="1" applyAlignment="1">
      <alignment horizontal="right" vertical="center"/>
    </xf>
    <xf numFmtId="43" fontId="4" fillId="4" borderId="19" xfId="1" applyFont="1" applyFill="1" applyBorder="1" applyAlignment="1">
      <alignment horizontal="right" vertical="center"/>
    </xf>
    <xf numFmtId="190" fontId="16" fillId="6" borderId="2" xfId="0" applyNumberFormat="1" applyFont="1" applyFill="1" applyBorder="1" applyAlignment="1">
      <alignment horizontal="center"/>
    </xf>
    <xf numFmtId="0" fontId="16" fillId="6" borderId="2" xfId="0" applyFont="1" applyFill="1" applyBorder="1" applyAlignment="1">
      <alignment horizontal="center"/>
    </xf>
    <xf numFmtId="191" fontId="16" fillId="6" borderId="2" xfId="1" applyNumberFormat="1" applyFont="1" applyFill="1" applyBorder="1" applyAlignment="1">
      <alignment horizontal="center"/>
    </xf>
    <xf numFmtId="190" fontId="15" fillId="0" borderId="20" xfId="0" applyNumberFormat="1" applyFont="1" applyBorder="1"/>
    <xf numFmtId="0" fontId="15" fillId="0" borderId="20" xfId="0" applyFont="1" applyBorder="1"/>
    <xf numFmtId="192" fontId="15" fillId="0" borderId="0" xfId="1" applyNumberFormat="1" applyFont="1"/>
    <xf numFmtId="190" fontId="15" fillId="0" borderId="21" xfId="0" applyNumberFormat="1" applyFont="1" applyBorder="1"/>
    <xf numFmtId="0" fontId="15" fillId="0" borderId="21" xfId="0" applyFont="1" applyBorder="1"/>
    <xf numFmtId="190" fontId="17" fillId="0" borderId="21" xfId="0" applyNumberFormat="1" applyFont="1" applyBorder="1"/>
    <xf numFmtId="0" fontId="17" fillId="0" borderId="21" xfId="0" applyFont="1" applyBorder="1"/>
    <xf numFmtId="43" fontId="17" fillId="0" borderId="21" xfId="1" applyFont="1" applyBorder="1"/>
    <xf numFmtId="191" fontId="17" fillId="0" borderId="21" xfId="1" applyNumberFormat="1" applyFont="1" applyBorder="1"/>
    <xf numFmtId="190" fontId="17" fillId="0" borderId="0" xfId="0" applyNumberFormat="1" applyFont="1"/>
    <xf numFmtId="0" fontId="17" fillId="0" borderId="0" xfId="0" applyFont="1"/>
    <xf numFmtId="191" fontId="17" fillId="0" borderId="0" xfId="1" applyNumberFormat="1" applyFont="1"/>
    <xf numFmtId="190" fontId="17" fillId="0" borderId="20" xfId="0" applyNumberFormat="1" applyFont="1" applyBorder="1"/>
    <xf numFmtId="0" fontId="17" fillId="0" borderId="20" xfId="0" applyFont="1" applyBorder="1"/>
    <xf numFmtId="190" fontId="16" fillId="8" borderId="2" xfId="0" applyNumberFormat="1" applyFont="1" applyFill="1" applyBorder="1" applyAlignment="1">
      <alignment horizontal="center"/>
    </xf>
    <xf numFmtId="0" fontId="16" fillId="8" borderId="2" xfId="0" applyFont="1" applyFill="1" applyBorder="1" applyAlignment="1">
      <alignment horizontal="center"/>
    </xf>
    <xf numFmtId="0" fontId="17" fillId="0" borderId="20" xfId="0" quotePrefix="1" applyFont="1" applyBorder="1"/>
    <xf numFmtId="0" fontId="6" fillId="2" borderId="0" xfId="0" applyFont="1" applyFill="1"/>
    <xf numFmtId="0" fontId="4" fillId="0" borderId="0" xfId="0" applyFont="1" applyAlignment="1">
      <alignment horizontal="center"/>
    </xf>
    <xf numFmtId="0" fontId="3" fillId="0" borderId="0" xfId="0" applyFont="1"/>
    <xf numFmtId="0" fontId="9" fillId="2" borderId="0" xfId="0" applyFont="1" applyFill="1"/>
    <xf numFmtId="0" fontId="14" fillId="2" borderId="0" xfId="0" applyFont="1" applyFill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8" fillId="0" borderId="0" xfId="0" applyFont="1" applyAlignment="1">
      <alignment vertical="center"/>
    </xf>
    <xf numFmtId="0" fontId="9" fillId="0" borderId="0" xfId="0" applyFont="1"/>
    <xf numFmtId="0" fontId="11" fillId="0" borderId="0" xfId="0" applyFont="1" applyAlignment="1">
      <alignment horizontal="right" vertical="center" indent="1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 vertical="center"/>
    </xf>
    <xf numFmtId="0" fontId="0" fillId="0" borderId="26" xfId="0" applyBorder="1"/>
    <xf numFmtId="0" fontId="2" fillId="0" borderId="0" xfId="0" applyFont="1"/>
    <xf numFmtId="0" fontId="6" fillId="2" borderId="0" xfId="0" applyFont="1" applyFill="1" applyAlignment="1">
      <alignment wrapText="1"/>
    </xf>
    <xf numFmtId="0" fontId="4" fillId="2" borderId="26" xfId="0" applyFont="1" applyFill="1" applyBorder="1" applyAlignment="1">
      <alignment horizontal="center"/>
    </xf>
    <xf numFmtId="0" fontId="4" fillId="2" borderId="26" xfId="0" applyFont="1" applyFill="1" applyBorder="1"/>
    <xf numFmtId="0" fontId="4" fillId="0" borderId="26" xfId="0" applyFont="1" applyBorder="1"/>
    <xf numFmtId="0" fontId="4" fillId="0" borderId="26" xfId="0" applyFont="1" applyBorder="1" applyAlignment="1">
      <alignment horizontal="center" vertical="center"/>
    </xf>
    <xf numFmtId="0" fontId="6" fillId="2" borderId="0" xfId="0" applyFont="1" applyFill="1" applyAlignment="1">
      <alignment horizontal="right" vertical="center" indent="1"/>
    </xf>
    <xf numFmtId="0" fontId="15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horizontal="left" vertical="center" indent="1"/>
    </xf>
    <xf numFmtId="0" fontId="6" fillId="2" borderId="0" xfId="0" applyFont="1" applyFill="1" applyAlignment="1">
      <alignment horizontal="left" vertical="center"/>
    </xf>
    <xf numFmtId="0" fontId="0" fillId="0" borderId="27" xfId="0" applyBorder="1"/>
    <xf numFmtId="0" fontId="4" fillId="0" borderId="28" xfId="0" applyFont="1" applyBorder="1"/>
    <xf numFmtId="0" fontId="4" fillId="0" borderId="29" xfId="0" applyFont="1" applyBorder="1"/>
    <xf numFmtId="0" fontId="4" fillId="4" borderId="17" xfId="0" applyFont="1" applyFill="1" applyBorder="1" applyAlignment="1">
      <alignment horizontal="left" vertical="center" indent="1"/>
    </xf>
    <xf numFmtId="0" fontId="4" fillId="2" borderId="30" xfId="0" applyFont="1" applyFill="1" applyBorder="1" applyAlignment="1">
      <alignment horizontal="left" vertical="center" indent="1"/>
    </xf>
    <xf numFmtId="189" fontId="4" fillId="4" borderId="17" xfId="0" applyNumberFormat="1" applyFont="1" applyFill="1" applyBorder="1" applyAlignment="1">
      <alignment horizontal="center" vertical="center"/>
    </xf>
    <xf numFmtId="189" fontId="4" fillId="2" borderId="12" xfId="0" applyNumberFormat="1" applyFont="1" applyFill="1" applyBorder="1" applyAlignment="1">
      <alignment horizontal="center" vertical="center"/>
    </xf>
    <xf numFmtId="43" fontId="4" fillId="4" borderId="13" xfId="1" applyFont="1" applyFill="1" applyBorder="1" applyAlignment="1">
      <alignment horizontal="right" vertical="center"/>
    </xf>
    <xf numFmtId="0" fontId="13" fillId="0" borderId="20" xfId="2" applyBorder="1"/>
    <xf numFmtId="0" fontId="6" fillId="2" borderId="15" xfId="0" applyFont="1" applyFill="1" applyBorder="1"/>
    <xf numFmtId="0" fontId="0" fillId="0" borderId="15" xfId="0" applyBorder="1"/>
    <xf numFmtId="0" fontId="4" fillId="2" borderId="15" xfId="0" applyFont="1" applyFill="1" applyBorder="1"/>
    <xf numFmtId="43" fontId="4" fillId="2" borderId="15" xfId="1" applyFont="1" applyFill="1" applyBorder="1" applyAlignment="1">
      <alignment horizontal="right" vertical="center" indent="1"/>
    </xf>
    <xf numFmtId="0" fontId="0" fillId="0" borderId="35" xfId="0" applyBorder="1"/>
    <xf numFmtId="0" fontId="4" fillId="2" borderId="35" xfId="0" applyFont="1" applyFill="1" applyBorder="1"/>
    <xf numFmtId="43" fontId="6" fillId="5" borderId="34" xfId="1" applyFont="1" applyFill="1" applyBorder="1" applyAlignment="1">
      <alignment horizontal="right" vertical="center" indent="1"/>
    </xf>
    <xf numFmtId="0" fontId="6" fillId="2" borderId="0" xfId="0" applyFont="1" applyFill="1" applyAlignment="1">
      <alignment vertical="top" wrapText="1"/>
    </xf>
    <xf numFmtId="0" fontId="4" fillId="2" borderId="36" xfId="0" applyFont="1" applyFill="1" applyBorder="1"/>
    <xf numFmtId="0" fontId="6" fillId="2" borderId="0" xfId="0" applyFont="1" applyFill="1" applyAlignment="1">
      <alignment horizontal="center" vertical="top" wrapText="1"/>
    </xf>
    <xf numFmtId="0" fontId="4" fillId="2" borderId="0" xfId="0" applyFont="1" applyFill="1" applyAlignment="1">
      <alignment vertical="top"/>
    </xf>
    <xf numFmtId="0" fontId="0" fillId="0" borderId="0" xfId="0" applyAlignment="1">
      <alignment vertical="center"/>
    </xf>
    <xf numFmtId="0" fontId="6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187" fontId="6" fillId="2" borderId="44" xfId="0" applyNumberFormat="1" applyFont="1" applyFill="1" applyBorder="1" applyAlignment="1">
      <alignment horizontal="center" vertical="center"/>
    </xf>
    <xf numFmtId="0" fontId="4" fillId="2" borderId="45" xfId="0" applyFont="1" applyFill="1" applyBorder="1"/>
    <xf numFmtId="43" fontId="6" fillId="2" borderId="0" xfId="1" applyFont="1" applyFill="1" applyBorder="1" applyAlignment="1">
      <alignment horizontal="right" vertical="center" indent="1"/>
    </xf>
    <xf numFmtId="0" fontId="8" fillId="0" borderId="0" xfId="0" applyFont="1" applyAlignment="1">
      <alignment horizontal="right" vertical="center" indent="1"/>
    </xf>
    <xf numFmtId="0" fontId="18" fillId="0" borderId="0" xfId="0" applyFont="1" applyAlignment="1">
      <alignment horizontal="right" vertical="center"/>
    </xf>
    <xf numFmtId="0" fontId="0" fillId="0" borderId="23" xfId="0" applyBorder="1"/>
    <xf numFmtId="0" fontId="10" fillId="0" borderId="0" xfId="0" applyFont="1"/>
    <xf numFmtId="0" fontId="20" fillId="0" borderId="0" xfId="0" applyFont="1" applyAlignment="1">
      <alignment vertical="center"/>
    </xf>
    <xf numFmtId="188" fontId="4" fillId="2" borderId="30" xfId="0" applyNumberFormat="1" applyFont="1" applyFill="1" applyBorder="1" applyAlignment="1">
      <alignment horizontal="left" vertical="center" indent="1"/>
    </xf>
    <xf numFmtId="0" fontId="4" fillId="2" borderId="0" xfId="0" applyFont="1" applyFill="1" applyAlignment="1">
      <alignment horizontal="left"/>
    </xf>
    <xf numFmtId="192" fontId="4" fillId="4" borderId="17" xfId="1" applyNumberFormat="1" applyFont="1" applyFill="1" applyBorder="1" applyAlignment="1">
      <alignment horizontal="center" vertical="center"/>
    </xf>
    <xf numFmtId="192" fontId="4" fillId="2" borderId="10" xfId="1" applyNumberFormat="1" applyFont="1" applyFill="1" applyBorder="1" applyAlignment="1">
      <alignment horizontal="center" vertical="center"/>
    </xf>
    <xf numFmtId="192" fontId="4" fillId="2" borderId="12" xfId="1" applyNumberFormat="1" applyFont="1" applyFill="1" applyBorder="1" applyAlignment="1">
      <alignment horizontal="center" vertical="center"/>
    </xf>
    <xf numFmtId="190" fontId="21" fillId="7" borderId="2" xfId="0" applyNumberFormat="1" applyFont="1" applyFill="1" applyBorder="1" applyAlignment="1">
      <alignment horizontal="center"/>
    </xf>
    <xf numFmtId="0" fontId="21" fillId="7" borderId="2" xfId="0" applyFont="1" applyFill="1" applyBorder="1" applyAlignment="1">
      <alignment horizontal="center"/>
    </xf>
    <xf numFmtId="0" fontId="22" fillId="9" borderId="0" xfId="0" applyFont="1" applyFill="1" applyAlignment="1">
      <alignment horizontal="center"/>
    </xf>
    <xf numFmtId="0" fontId="23" fillId="0" borderId="0" xfId="0" applyFont="1"/>
    <xf numFmtId="190" fontId="22" fillId="0" borderId="20" xfId="0" applyNumberFormat="1" applyFont="1" applyBorder="1"/>
    <xf numFmtId="0" fontId="22" fillId="0" borderId="20" xfId="0" applyFont="1" applyBorder="1"/>
    <xf numFmtId="193" fontId="22" fillId="0" borderId="20" xfId="1" applyNumberFormat="1" applyFont="1" applyBorder="1"/>
    <xf numFmtId="0" fontId="22" fillId="0" borderId="0" xfId="0" applyFont="1"/>
    <xf numFmtId="193" fontId="22" fillId="0" borderId="21" xfId="1" applyNumberFormat="1" applyFont="1" applyBorder="1"/>
    <xf numFmtId="0" fontId="22" fillId="0" borderId="21" xfId="0" applyFont="1" applyBorder="1"/>
    <xf numFmtId="190" fontId="22" fillId="0" borderId="21" xfId="0" applyNumberFormat="1" applyFont="1" applyBorder="1"/>
    <xf numFmtId="190" fontId="22" fillId="0" borderId="0" xfId="0" applyNumberFormat="1" applyFont="1"/>
    <xf numFmtId="0" fontId="12" fillId="0" borderId="0" xfId="0" applyFont="1" applyAlignment="1">
      <alignment vertical="top"/>
    </xf>
    <xf numFmtId="0" fontId="12" fillId="0" borderId="0" xfId="0" applyFont="1"/>
    <xf numFmtId="0" fontId="4" fillId="2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187" fontId="4" fillId="2" borderId="3" xfId="0" applyNumberFormat="1" applyFont="1" applyFill="1" applyBorder="1" applyAlignment="1">
      <alignment horizontal="center"/>
    </xf>
    <xf numFmtId="187" fontId="4" fillId="2" borderId="1" xfId="0" applyNumberFormat="1" applyFont="1" applyFill="1" applyBorder="1" applyAlignment="1">
      <alignment horizontal="center"/>
    </xf>
    <xf numFmtId="0" fontId="4" fillId="2" borderId="30" xfId="0" applyFont="1" applyFill="1" applyBorder="1" applyAlignment="1">
      <alignment horizontal="center" vertical="center"/>
    </xf>
    <xf numFmtId="0" fontId="4" fillId="2" borderId="42" xfId="0" applyFont="1" applyFill="1" applyBorder="1" applyAlignment="1">
      <alignment horizontal="center" vertical="center"/>
    </xf>
    <xf numFmtId="0" fontId="4" fillId="2" borderId="31" xfId="0" applyFont="1" applyFill="1" applyBorder="1" applyAlignment="1">
      <alignment horizontal="center" vertical="center"/>
    </xf>
    <xf numFmtId="43" fontId="4" fillId="2" borderId="0" xfId="1" applyFont="1" applyFill="1" applyBorder="1" applyAlignment="1">
      <alignment horizontal="right" vertical="center"/>
    </xf>
    <xf numFmtId="43" fontId="4" fillId="2" borderId="14" xfId="1" applyFont="1" applyFill="1" applyBorder="1" applyAlignment="1">
      <alignment horizontal="right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37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3" borderId="38" xfId="0" applyFont="1" applyFill="1" applyBorder="1" applyAlignment="1">
      <alignment horizontal="center" vertical="center"/>
    </xf>
    <xf numFmtId="0" fontId="4" fillId="4" borderId="39" xfId="0" applyFont="1" applyFill="1" applyBorder="1" applyAlignment="1">
      <alignment horizontal="center" vertical="center"/>
    </xf>
    <xf numFmtId="0" fontId="4" fillId="4" borderId="41" xfId="0" applyFont="1" applyFill="1" applyBorder="1" applyAlignment="1">
      <alignment horizontal="center" vertical="center"/>
    </xf>
    <xf numFmtId="0" fontId="4" fillId="4" borderId="40" xfId="0" applyFont="1" applyFill="1" applyBorder="1" applyAlignment="1">
      <alignment horizontal="center" vertical="center"/>
    </xf>
    <xf numFmtId="188" fontId="4" fillId="2" borderId="30" xfId="0" applyNumberFormat="1" applyFont="1" applyFill="1" applyBorder="1" applyAlignment="1">
      <alignment horizontal="center" vertical="center"/>
    </xf>
    <xf numFmtId="188" fontId="4" fillId="2" borderId="42" xfId="0" applyNumberFormat="1" applyFont="1" applyFill="1" applyBorder="1" applyAlignment="1">
      <alignment horizontal="center" vertical="center"/>
    </xf>
    <xf numFmtId="188" fontId="4" fillId="2" borderId="31" xfId="0" applyNumberFormat="1" applyFont="1" applyFill="1" applyBorder="1" applyAlignment="1">
      <alignment horizontal="center" vertical="center"/>
    </xf>
    <xf numFmtId="0" fontId="4" fillId="2" borderId="32" xfId="0" applyFont="1" applyFill="1" applyBorder="1" applyAlignment="1">
      <alignment horizontal="center" vertical="center"/>
    </xf>
    <xf numFmtId="0" fontId="4" fillId="2" borderId="43" xfId="0" applyFont="1" applyFill="1" applyBorder="1" applyAlignment="1">
      <alignment horizontal="center" vertical="center"/>
    </xf>
    <xf numFmtId="0" fontId="4" fillId="2" borderId="33" xfId="0" applyFont="1" applyFill="1" applyBorder="1" applyAlignment="1">
      <alignment horizontal="center" vertical="center"/>
    </xf>
    <xf numFmtId="0" fontId="19" fillId="2" borderId="0" xfId="0" applyFont="1" applyFill="1" applyAlignment="1">
      <alignment horizontal="center"/>
    </xf>
  </cellXfs>
  <cellStyles count="3">
    <cellStyle name="Comma" xfId="1" builtinId="3"/>
    <cellStyle name="Hyperlink" xfId="2" builtinId="8"/>
    <cellStyle name="Normal" xfId="0" builtinId="0"/>
  </cellStyles>
  <dxfs count="1">
    <dxf>
      <border>
        <top style="thin">
          <color rgb="FFFF0000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kaikui.chen@amphenolmcp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ED5E3-4117-44DE-A96A-A4F26740115F}">
  <dimension ref="A1:N52"/>
  <sheetViews>
    <sheetView showGridLines="0" tabSelected="1" view="pageBreakPreview" topLeftCell="A22" zoomScale="130" zoomScaleNormal="100" zoomScaleSheetLayoutView="130" workbookViewId="0">
      <selection activeCell="J6" sqref="J6"/>
    </sheetView>
  </sheetViews>
  <sheetFormatPr defaultRowHeight="14" x14ac:dyDescent="0.3"/>
  <cols>
    <col min="1" max="1" width="3.25" customWidth="1"/>
    <col min="2" max="2" width="7.6640625" customWidth="1"/>
    <col min="3" max="3" width="12.1640625" customWidth="1"/>
    <col min="4" max="4" width="16.08203125" customWidth="1"/>
    <col min="5" max="5" width="8.9140625" customWidth="1"/>
    <col min="6" max="6" width="20.9140625" customWidth="1"/>
    <col min="7" max="7" width="12.25" customWidth="1"/>
    <col min="8" max="8" width="15.75" customWidth="1"/>
    <col min="9" max="9" width="14.58203125" customWidth="1"/>
    <col min="10" max="10" width="18.08203125" customWidth="1"/>
    <col min="11" max="12" width="3.6640625" customWidth="1"/>
    <col min="14" max="14" width="10.4140625" customWidth="1"/>
  </cols>
  <sheetData>
    <row r="1" spans="1:14" x14ac:dyDescent="0.3">
      <c r="A1" s="50"/>
      <c r="B1" s="98"/>
      <c r="C1" s="98"/>
      <c r="D1" s="98"/>
      <c r="E1" s="98"/>
      <c r="F1" s="98"/>
      <c r="G1" s="98"/>
      <c r="H1" s="98"/>
      <c r="I1" s="98"/>
      <c r="J1" s="98"/>
      <c r="K1" s="51"/>
    </row>
    <row r="2" spans="1:14" x14ac:dyDescent="0.3">
      <c r="A2" s="52"/>
      <c r="K2" s="58"/>
    </row>
    <row r="3" spans="1:14" ht="33" x14ac:dyDescent="1">
      <c r="A3" s="52"/>
      <c r="B3" s="99" t="s">
        <v>0</v>
      </c>
      <c r="C3" s="54"/>
      <c r="D3" s="96"/>
      <c r="E3" s="53"/>
      <c r="F3" s="53"/>
      <c r="G3" s="53"/>
      <c r="H3" s="53"/>
      <c r="I3" s="53"/>
      <c r="J3" s="97" t="s">
        <v>1</v>
      </c>
      <c r="K3" s="58"/>
      <c r="M3" s="2"/>
    </row>
    <row r="4" spans="1:14" ht="27" customHeight="1" x14ac:dyDescent="0.8">
      <c r="A4" s="52"/>
      <c r="B4" s="100" t="s">
        <v>2</v>
      </c>
      <c r="C4" s="54"/>
      <c r="D4" s="55"/>
      <c r="E4" s="53"/>
      <c r="F4" s="53"/>
      <c r="G4" s="53"/>
      <c r="H4" s="53"/>
      <c r="I4" s="56"/>
      <c r="J4" s="57" t="s">
        <v>3</v>
      </c>
      <c r="K4" s="58"/>
      <c r="M4" s="49" t="s">
        <v>8</v>
      </c>
      <c r="N4" s="48" t="str">
        <f>IFERROR(INDEX(สรุปใบแจ้งหนี้!C:C,MATCH(ใบแจ้งหนี้!J5,สรุปใบแจ้งหนี้!B:B,0),1),"")</f>
        <v>APT01</v>
      </c>
    </row>
    <row r="5" spans="1:14" ht="24" x14ac:dyDescent="0.7">
      <c r="A5" s="52"/>
      <c r="B5" s="119" t="s">
        <v>4</v>
      </c>
      <c r="C5" s="54"/>
      <c r="D5" s="55"/>
      <c r="E5" s="53"/>
      <c r="F5" s="53"/>
      <c r="G5" s="53"/>
      <c r="H5" s="53"/>
      <c r="I5" s="45" t="s">
        <v>47</v>
      </c>
      <c r="J5" s="92">
        <v>20260501</v>
      </c>
      <c r="K5" s="58"/>
      <c r="M5" s="14">
        <v>1</v>
      </c>
      <c r="N5" s="14" t="str">
        <f>M5&amp;" : "&amp;$J$5</f>
        <v>1 : 20260501</v>
      </c>
    </row>
    <row r="6" spans="1:14" ht="24" x14ac:dyDescent="0.7">
      <c r="A6" s="52"/>
      <c r="B6" s="118" t="s">
        <v>5</v>
      </c>
      <c r="C6" s="54"/>
      <c r="D6" s="55"/>
      <c r="E6" s="53"/>
      <c r="F6" s="53"/>
      <c r="G6" s="53"/>
      <c r="H6" s="53"/>
      <c r="I6" s="45" t="s">
        <v>48</v>
      </c>
      <c r="J6" s="93">
        <f>IFERROR(INDEX(สรุปใบแจ้งหนี้!A:A,MATCH(ใบแจ้งหนี้!J5,สรุปใบแจ้งหนี้!B:B,0),1),"")</f>
        <v>46143</v>
      </c>
      <c r="K6" s="58"/>
      <c r="M6" s="14">
        <v>2</v>
      </c>
      <c r="N6" s="14" t="str">
        <f t="shared" ref="N6:N11" si="0">M6&amp;" : "&amp;$J$5</f>
        <v>2 : 20260501</v>
      </c>
    </row>
    <row r="7" spans="1:14" ht="21" x14ac:dyDescent="0.7">
      <c r="A7" s="52"/>
      <c r="B7" s="45" t="s">
        <v>6</v>
      </c>
      <c r="C7" s="1"/>
      <c r="E7" s="94" t="s">
        <v>7</v>
      </c>
      <c r="F7" s="94"/>
      <c r="G7" s="4"/>
      <c r="H7" s="4"/>
      <c r="I7" s="45" t="s">
        <v>49</v>
      </c>
      <c r="J7" s="120">
        <f>IF(D11&lt;&gt;"",30,"")</f>
        <v>30</v>
      </c>
      <c r="K7" s="58"/>
      <c r="M7" s="46">
        <v>3</v>
      </c>
      <c r="N7" s="14" t="str">
        <f t="shared" si="0"/>
        <v>3 : 20260501</v>
      </c>
    </row>
    <row r="8" spans="1:14" ht="16" customHeight="1" x14ac:dyDescent="0.8">
      <c r="A8" s="52"/>
      <c r="B8" s="59"/>
      <c r="C8" s="47"/>
      <c r="D8" s="47"/>
      <c r="E8" s="47"/>
      <c r="F8" s="47"/>
      <c r="G8" s="47"/>
      <c r="H8" s="47"/>
      <c r="I8" s="45" t="s">
        <v>50</v>
      </c>
      <c r="J8" s="121"/>
      <c r="K8" s="58"/>
      <c r="M8" s="46">
        <v>4</v>
      </c>
      <c r="N8" s="14" t="str">
        <f t="shared" si="0"/>
        <v>4 : 20260501</v>
      </c>
    </row>
    <row r="9" spans="1:14" ht="21" x14ac:dyDescent="0.7">
      <c r="A9" s="52"/>
      <c r="B9" s="4"/>
      <c r="C9" s="4"/>
      <c r="D9" s="4"/>
      <c r="E9" s="4"/>
      <c r="F9" s="4"/>
      <c r="G9" s="4"/>
      <c r="H9" s="4"/>
      <c r="I9" s="60" t="s">
        <v>51</v>
      </c>
      <c r="J9" s="122">
        <f>IFERROR(J7+J6-1,"")</f>
        <v>46172</v>
      </c>
      <c r="K9" s="58"/>
      <c r="M9" s="46">
        <v>5</v>
      </c>
      <c r="N9" s="14" t="str">
        <f t="shared" si="0"/>
        <v>5 : 20260501</v>
      </c>
    </row>
    <row r="10" spans="1:14" ht="16" customHeight="1" x14ac:dyDescent="0.7">
      <c r="A10" s="52"/>
      <c r="D10" s="4"/>
      <c r="E10" s="4"/>
      <c r="F10" s="4"/>
      <c r="G10" s="4"/>
      <c r="H10" s="4"/>
      <c r="I10" s="60" t="s">
        <v>52</v>
      </c>
      <c r="J10" s="123"/>
      <c r="K10" s="58"/>
      <c r="M10" s="46">
        <v>6</v>
      </c>
      <c r="N10" s="14" t="str">
        <f>M10&amp;" : "&amp;$J$5</f>
        <v>6 : 20260501</v>
      </c>
    </row>
    <row r="11" spans="1:14" ht="21" x14ac:dyDescent="0.7">
      <c r="A11" s="52"/>
      <c r="B11" s="45" t="s">
        <v>10</v>
      </c>
      <c r="C11" s="1"/>
      <c r="D11" s="3" t="str">
        <f>IFERROR(INDEX(ข้อมูลลูกค้า!B:B,MATCH($N$4,ข้อมูลลูกค้า!$A:$A,0))&amp;"   "&amp;INDEX(ข้อมูลลูกค้า!C:C,MATCH($N$4,ข้อมูลลูกค้า!$A:$A,0)),"")</f>
        <v xml:space="preserve">บริษัท แอมฟีนอล ฟีนิกซ์ (ประเทศไทย) จำกัด (สำนักงานใหญ่)   </v>
      </c>
      <c r="E11" s="3"/>
      <c r="F11" s="3"/>
      <c r="G11" s="3"/>
      <c r="H11" s="3"/>
      <c r="K11" s="58"/>
      <c r="M11" s="46">
        <v>7</v>
      </c>
      <c r="N11" s="14" t="str">
        <f t="shared" si="0"/>
        <v>7 : 20260501</v>
      </c>
    </row>
    <row r="12" spans="1:14" ht="21" x14ac:dyDescent="0.7">
      <c r="A12" s="52"/>
      <c r="B12" s="45" t="s">
        <v>11</v>
      </c>
      <c r="C12" s="1"/>
      <c r="D12" s="3" t="str">
        <f>IFERROR(INDEX(ข้อมูลลูกค้า!D:D,MATCH($N$4,ข้อมูลลูกค้า!$A:$A,0)),"")</f>
        <v>40/39-40,40/42-43 หมู่ที่ 5 ตำบลอุทัย อำเภออุทัย จังหวัดพระนครศรีอยุธยา 13210</v>
      </c>
      <c r="E12" s="5"/>
      <c r="F12" s="5"/>
      <c r="G12" s="5"/>
      <c r="H12" s="5"/>
      <c r="K12" s="58"/>
    </row>
    <row r="13" spans="1:14" ht="21" x14ac:dyDescent="0.7">
      <c r="A13" s="52"/>
      <c r="B13" s="45" t="s">
        <v>55</v>
      </c>
      <c r="C13" s="1"/>
      <c r="D13" s="7" t="str">
        <f>IFERROR(INDEX(ข้อมูลลูกค้า!E:E,MATCH($N$4,ข้อมูลลูกค้า!$A:$A,0)),"")</f>
        <v>kaikui.chen@amphenolmcp.com</v>
      </c>
      <c r="E13" s="6"/>
      <c r="F13" s="6"/>
      <c r="G13" s="6"/>
      <c r="H13" s="6"/>
      <c r="J13" s="45"/>
      <c r="K13" s="61"/>
      <c r="L13" s="21"/>
      <c r="M13" s="49"/>
    </row>
    <row r="14" spans="1:14" ht="21" x14ac:dyDescent="0.7">
      <c r="A14" s="52"/>
      <c r="B14" s="45" t="s">
        <v>6</v>
      </c>
      <c r="C14" s="1"/>
      <c r="D14" s="20"/>
      <c r="E14" s="7" t="str">
        <f>IFERROR(INDEX(ข้อมูลลูกค้า!F:F,MATCH($N$4,ข้อมูลลูกค้า!$A:$A,0)),"")</f>
        <v>0145566000923</v>
      </c>
      <c r="F14" s="7"/>
      <c r="G14" s="7"/>
      <c r="H14" s="6"/>
      <c r="K14" s="58"/>
      <c r="M14" s="46"/>
      <c r="N14" s="102"/>
    </row>
    <row r="15" spans="1:14" ht="21" x14ac:dyDescent="0.7">
      <c r="A15" s="52"/>
      <c r="B15" s="4"/>
      <c r="C15" s="4"/>
      <c r="D15" s="4"/>
      <c r="E15" s="4"/>
      <c r="F15" s="4"/>
      <c r="G15" s="4"/>
      <c r="H15" s="4"/>
      <c r="I15" s="4"/>
      <c r="J15" s="4"/>
      <c r="K15" s="62"/>
      <c r="L15" s="4"/>
      <c r="M15" s="21"/>
      <c r="N15" s="102"/>
    </row>
    <row r="16" spans="1:14" ht="21" x14ac:dyDescent="0.7">
      <c r="A16" s="52"/>
      <c r="B16" s="9" t="s">
        <v>12</v>
      </c>
      <c r="C16" s="10" t="s">
        <v>64</v>
      </c>
      <c r="D16" s="10" t="s">
        <v>13</v>
      </c>
      <c r="E16" s="129" t="s">
        <v>14</v>
      </c>
      <c r="F16" s="130"/>
      <c r="G16" s="131"/>
      <c r="H16" s="9" t="s">
        <v>15</v>
      </c>
      <c r="I16" s="9" t="s">
        <v>16</v>
      </c>
      <c r="J16" s="9" t="s">
        <v>17</v>
      </c>
      <c r="K16" s="63"/>
      <c r="L16" s="1"/>
      <c r="M16" s="21"/>
      <c r="N16" s="102"/>
    </row>
    <row r="17" spans="1:14" ht="21" x14ac:dyDescent="0.7">
      <c r="A17" s="52"/>
      <c r="B17" s="11" t="s">
        <v>18</v>
      </c>
      <c r="C17" s="12" t="s">
        <v>78</v>
      </c>
      <c r="D17" s="12" t="s">
        <v>19</v>
      </c>
      <c r="E17" s="132" t="s">
        <v>20</v>
      </c>
      <c r="F17" s="133"/>
      <c r="G17" s="134"/>
      <c r="H17" s="11" t="s">
        <v>21</v>
      </c>
      <c r="I17" s="11" t="s">
        <v>22</v>
      </c>
      <c r="J17" s="11" t="s">
        <v>23</v>
      </c>
      <c r="K17" s="63"/>
      <c r="L17" s="1"/>
      <c r="M17" s="21"/>
      <c r="N17" s="102"/>
    </row>
    <row r="18" spans="1:14" ht="21" x14ac:dyDescent="0.7">
      <c r="A18" s="52"/>
      <c r="B18" s="22">
        <f>IF(D18&lt;&gt;0,1,"")</f>
        <v>1</v>
      </c>
      <c r="C18" s="74" t="str">
        <f>IFERROR(INDEX(สรุปใบแจ้งหนี้!D:D,MATCH(ใบแจ้งหนี้!N5,สรุปใบแจ้งหนี้!G:G,0),1),"")</f>
        <v>COT091</v>
      </c>
      <c r="D18" s="73" t="str">
        <f>IFERROR(INDEX(สรุปใบแจ้งหนี้!E:E,MATCH(ใบแจ้งหนี้!N5,สรุปใบแจ้งหนี้!G:G,0),1),"")</f>
        <v>MA020-676_A</v>
      </c>
      <c r="E18" s="135" t="str">
        <f>IFERROR(INDEX(ข้อมูลสินค้า!C:C,MATCH(ใบแจ้งหนี้!D18,ข้อมูลสินค้า!B:B,0),1),"")</f>
        <v>9 Core Long Wire</v>
      </c>
      <c r="F18" s="136"/>
      <c r="G18" s="137"/>
      <c r="H18" s="75">
        <f>IFERROR(INDEX(สรุปใบแจ้งหนี้!F:F,MATCH(ใบแจ้งหนี้!N5,สรุปใบแจ้งหนี้!G:G,0),1),"")</f>
        <v>6007</v>
      </c>
      <c r="I18" s="103">
        <f>IFERROR(INDEX(ข้อมูลสินค้า!D:D,MATCH(D18,ข้อมูลสินค้า!B:B,0),1),"")</f>
        <v>0.92200000000000004</v>
      </c>
      <c r="J18" s="23">
        <f>IF(ISBLANK(I18),"",(IFERROR(H18*I18,"")))</f>
        <v>5538.4540000000006</v>
      </c>
      <c r="K18" s="64"/>
      <c r="L18" s="14"/>
      <c r="M18" s="21"/>
      <c r="N18" s="102"/>
    </row>
    <row r="19" spans="1:14" ht="21" x14ac:dyDescent="0.7">
      <c r="A19" s="52"/>
      <c r="B19" s="15">
        <f>IF(D19&lt;&gt;"",B18+1,"")</f>
        <v>2</v>
      </c>
      <c r="C19" s="74" t="str">
        <f>IFERROR(INDEX(สรุปใบแจ้งหนี้!D:D,MATCH(ใบแจ้งหนี้!N6,สรุปใบแจ้งหนี้!G:G,0),1),"")</f>
        <v>COT091</v>
      </c>
      <c r="D19" s="74" t="str">
        <f>IFERROR(INDEX(สรุปใบแจ้งหนี้!E:E,MATCH(ใบแจ้งหนี้!N6,สรุปใบแจ้งหนี้!G:G,0),1),"")</f>
        <v>MA020-633_A</v>
      </c>
      <c r="E19" s="124" t="str">
        <f>IFERROR(INDEX(ข้อมูลสินค้า!C:C,MATCH(ใบแจ้งหนี้!D19,ข้อมูลสินค้า!B:B,0),1),"")</f>
        <v>16 Core Short Wire</v>
      </c>
      <c r="F19" s="125"/>
      <c r="G19" s="126"/>
      <c r="H19" s="16">
        <f>IFERROR(INDEX(สรุปใบแจ้งหนี้!F:F,MATCH(ใบแจ้งหนี้!N6,สรุปใบแจ้งหนี้!G:G,0),1),"")</f>
        <v>5990</v>
      </c>
      <c r="I19" s="104">
        <f>IFERROR(INDEX(ข้อมูลสินค้า!D:D,MATCH(D19,ข้อมูลสินค้า!B:B,0),1),"")</f>
        <v>0.307</v>
      </c>
      <c r="J19" s="24">
        <f>IF(ISBLANK(I19),"",(IFERROR(H19*I19,"")))</f>
        <v>1838.93</v>
      </c>
      <c r="K19" s="64"/>
      <c r="L19" s="14"/>
      <c r="M19" s="21"/>
      <c r="N19" s="102"/>
    </row>
    <row r="20" spans="1:14" ht="21" x14ac:dyDescent="0.7">
      <c r="A20" s="52"/>
      <c r="B20" s="17">
        <f>IF(D20&lt;&gt;"",B19+1,"")</f>
        <v>3</v>
      </c>
      <c r="C20" s="101">
        <f>IFERROR(INDEX(สรุปใบแจ้งหนี้!D:D,MATCH(ใบแจ้งหนี้!N7,สรุปใบแจ้งหนี้!G:G,0),1),"")</f>
        <v>0</v>
      </c>
      <c r="D20" s="74" t="str">
        <f>IFERROR(INDEX(สรุปใบแจ้งหนี้!E:E,MATCH(ใบแจ้งหนี้!N7,สรุปใบแจ้งหนี้!G:G,0),1),"")</f>
        <v>Transportation fee</v>
      </c>
      <c r="E20" s="138">
        <f>IFERROR(INDEX(ข้อมูลสินค้า!C:C,MATCH(ใบแจ้งหนี้!D20,ข้อมูลสินค้า!B:B,0),1),"")</f>
        <v>0</v>
      </c>
      <c r="F20" s="139"/>
      <c r="G20" s="140"/>
      <c r="H20" s="16">
        <f>IFERROR(INDEX(สรุปใบแจ้งหนี้!F:F,MATCH(ใบแจ้งหนี้!N7,สรุปใบแจ้งหนี้!G:G,0),1),"")</f>
        <v>1</v>
      </c>
      <c r="I20" s="104">
        <f>IFERROR(INDEX(ข้อมูลสินค้า!D:D,MATCH(D20,ข้อมูลสินค้า!B:B,0),1),"")</f>
        <v>1650</v>
      </c>
      <c r="J20" s="24">
        <f t="shared" ref="J20:J29" si="1">IF(ISBLANK(I20),"",(IFERROR(H20*I20,"")))</f>
        <v>1650</v>
      </c>
      <c r="K20" s="63"/>
      <c r="L20" s="1"/>
      <c r="M20" s="13"/>
      <c r="N20" s="102"/>
    </row>
    <row r="21" spans="1:14" ht="21" x14ac:dyDescent="0.7">
      <c r="A21" s="52"/>
      <c r="B21" s="17" t="str">
        <f t="shared" ref="B21:B29" si="2">IF(C21&lt;&gt;"",B20+1,"")</f>
        <v/>
      </c>
      <c r="C21" s="74" t="str">
        <f>IFERROR(INDEX(สรุปใบแจ้งหนี้!D:D,MATCH(ใบแจ้งหนี้!N8,สรุปใบแจ้งหนี้!G:G,0),1),"")</f>
        <v/>
      </c>
      <c r="D21" s="74" t="str">
        <f>IFERROR(INDEX(สรุปใบแจ้งหนี้!E:E,MATCH(ใบแจ้งหนี้!N8,สรุปใบแจ้งหนี้!G:G,0),1),"")</f>
        <v/>
      </c>
      <c r="E21" s="124" t="str">
        <f>IFERROR(INDEX(ข้อมูลสินค้า!C:C,MATCH(ใบแจ้งหนี้!C21,ข้อมูลสินค้า!B:B,0),1),"")</f>
        <v/>
      </c>
      <c r="F21" s="125"/>
      <c r="G21" s="126"/>
      <c r="H21" s="16" t="str">
        <f>IFERROR(INDEX(สรุปใบแจ้งหนี้!F:F,MATCH(ใบแจ้งหนี้!N8,สรุปใบแจ้งหนี้!G:G,0),1),"")</f>
        <v/>
      </c>
      <c r="I21" s="104" t="str">
        <f>IFERROR(INDEX(ข้อมูลสินค้า!D:D,MATCH(C21,ข้อมูลสินค้า!B:B,0),1),"")</f>
        <v/>
      </c>
      <c r="J21" s="24" t="str">
        <f t="shared" si="1"/>
        <v/>
      </c>
      <c r="K21" s="63"/>
      <c r="L21" s="1"/>
      <c r="M21" s="4"/>
    </row>
    <row r="22" spans="1:14" ht="21" x14ac:dyDescent="0.7">
      <c r="A22" s="52"/>
      <c r="B22" s="17" t="str">
        <f t="shared" si="2"/>
        <v/>
      </c>
      <c r="C22" s="74" t="str">
        <f>IFERROR(INDEX(สรุปใบแจ้งหนี้!D:D,MATCH(ใบแจ้งหนี้!N9,สรุปใบแจ้งหนี้!G:G,0),1),"")</f>
        <v/>
      </c>
      <c r="D22" s="74" t="str">
        <f>IFERROR(INDEX(สรุปใบแจ้งหนี้!E:E,MATCH(ใบแจ้งหนี้!N9,สรุปใบแจ้งหนี้!G:G,0),1),"")</f>
        <v/>
      </c>
      <c r="E22" s="124" t="str">
        <f>IFERROR(INDEX(ข้อมูลสินค้า!C:C,MATCH(ใบแจ้งหนี้!C22,ข้อมูลสินค้า!B:B,0),1),"")</f>
        <v/>
      </c>
      <c r="F22" s="125"/>
      <c r="G22" s="126"/>
      <c r="H22" s="16" t="str">
        <f>IFERROR(INDEX(สรุปใบแจ้งหนี้!F:F,MATCH(ใบแจ้งหนี้!N9,สรุปใบแจ้งหนี้!G:G,0),1),"")</f>
        <v/>
      </c>
      <c r="I22" s="104" t="str">
        <f>IFERROR(INDEX(ข้อมูลสินค้า!D:D,MATCH(C22,ข้อมูลสินค้า!B:B,0),1),"")</f>
        <v/>
      </c>
      <c r="J22" s="24" t="str">
        <f t="shared" si="1"/>
        <v/>
      </c>
      <c r="K22" s="63"/>
      <c r="L22" s="1"/>
      <c r="M22" s="4"/>
    </row>
    <row r="23" spans="1:14" ht="21" x14ac:dyDescent="0.7">
      <c r="A23" s="52"/>
      <c r="B23" s="17" t="str">
        <f t="shared" si="2"/>
        <v/>
      </c>
      <c r="C23" s="74" t="str">
        <f>IFERROR(INDEX(สรุปใบแจ้งหนี้!D:D,MATCH(ใบแจ้งหนี้!N10,สรุปใบแจ้งหนี้!G:G,0),1),"")</f>
        <v/>
      </c>
      <c r="D23" s="74" t="str">
        <f>IFERROR(INDEX(สรุปใบแจ้งหนี้!E:E,MATCH(ใบแจ้งหนี้!N10,สรุปใบแจ้งหนี้!G:G,0),1),"")</f>
        <v/>
      </c>
      <c r="E23" s="124" t="str">
        <f>IFERROR(INDEX(ข้อมูลสินค้า!C:C,MATCH(ใบแจ้งหนี้!C23,ข้อมูลสินค้า!B:B,0),1),"")</f>
        <v/>
      </c>
      <c r="F23" s="125"/>
      <c r="G23" s="126"/>
      <c r="H23" s="16" t="str">
        <f>IFERROR(INDEX(สรุปใบแจ้งหนี้!F:F,MATCH(ใบแจ้งหนี้!N10,สรุปใบแจ้งหนี้!G:G,0),1),"")</f>
        <v/>
      </c>
      <c r="I23" s="104" t="str">
        <f>IFERROR(INDEX(ข้อมูลสินค้า!D:D,MATCH(C23,ข้อมูลสินค้า!B:B,0),1),"")</f>
        <v/>
      </c>
      <c r="J23" s="24" t="str">
        <f t="shared" si="1"/>
        <v/>
      </c>
      <c r="K23" s="63"/>
      <c r="L23" s="1"/>
      <c r="M23" s="4"/>
    </row>
    <row r="24" spans="1:14" ht="21" x14ac:dyDescent="0.7">
      <c r="A24" s="52"/>
      <c r="B24" s="17" t="str">
        <f t="shared" si="2"/>
        <v/>
      </c>
      <c r="C24" s="74" t="str">
        <f>IFERROR(INDEX(สรุปใบแจ้งหนี้!D:D,MATCH(ใบแจ้งหนี้!N11,สรุปใบแจ้งหนี้!G:G,0),1),"")</f>
        <v/>
      </c>
      <c r="D24" s="74" t="str">
        <f>IFERROR(INDEX(สรุปใบแจ้งหนี้!E:E,MATCH(ใบแจ้งหนี้!N11,สรุปใบแจ้งหนี้!G:G,0),1),"")</f>
        <v/>
      </c>
      <c r="E24" s="124" t="str">
        <f>IFERROR(INDEX(ข้อมูลสินค้า!C:C,MATCH(ใบแจ้งหนี้!C24,ข้อมูลสินค้า!B:B,0),1),"")</f>
        <v/>
      </c>
      <c r="F24" s="125"/>
      <c r="G24" s="126"/>
      <c r="H24" s="16" t="str">
        <f>IFERROR(INDEX(สรุปใบแจ้งหนี้!F:F,MATCH(ใบแจ้งหนี้!N11,สรุปใบแจ้งหนี้!G:G,0),1),"")</f>
        <v/>
      </c>
      <c r="I24" s="104" t="str">
        <f>IFERROR(INDEX(ข้อมูลสินค้า!D:D,MATCH(C24,ข้อมูลสินค้า!B:B,0),1),"")</f>
        <v/>
      </c>
      <c r="J24" s="24" t="str">
        <f t="shared" si="1"/>
        <v/>
      </c>
      <c r="K24" s="63"/>
      <c r="L24" s="1"/>
      <c r="M24" s="4"/>
    </row>
    <row r="25" spans="1:14" ht="21" x14ac:dyDescent="0.7">
      <c r="A25" s="52"/>
      <c r="B25" s="17" t="str">
        <f t="shared" si="2"/>
        <v/>
      </c>
      <c r="C25" s="74" t="str">
        <f>IFERROR(INDEX(สรุปใบแจ้งหนี้!D:D,MATCH(ใบแจ้งหนี้!#REF!,สรุปใบแจ้งหนี้!G:G,0),1),"")</f>
        <v/>
      </c>
      <c r="D25" s="74" t="str">
        <f>IFERROR(INDEX(สรุปใบแจ้งหนี้!E:E,MATCH(ใบแจ้งหนี้!#REF!,สรุปใบแจ้งหนี้!G:G,0),1),"")</f>
        <v/>
      </c>
      <c r="E25" s="124" t="str">
        <f>IFERROR(INDEX(ข้อมูลสินค้า!C:C,MATCH(ใบแจ้งหนี้!C25,ข้อมูลสินค้า!B:B,0),1),"")</f>
        <v/>
      </c>
      <c r="F25" s="125"/>
      <c r="G25" s="126"/>
      <c r="H25" s="16" t="str">
        <f>IFERROR(INDEX(สรุปใบแจ้งหนี้!F:F,MATCH(ใบแจ้งหนี้!#REF!,สรุปใบแจ้งหนี้!G:G,0),1),"")</f>
        <v/>
      </c>
      <c r="I25" s="104" t="str">
        <f>IFERROR(INDEX(ข้อมูลสินค้า!D:D,MATCH(C25,ข้อมูลสินค้า!B:B,0),1),"")</f>
        <v/>
      </c>
      <c r="J25" s="24" t="str">
        <f t="shared" si="1"/>
        <v/>
      </c>
      <c r="K25" s="63"/>
      <c r="L25" s="1"/>
      <c r="M25" s="4"/>
    </row>
    <row r="26" spans="1:14" ht="21" x14ac:dyDescent="0.7">
      <c r="A26" s="52"/>
      <c r="B26" s="17" t="str">
        <f t="shared" si="2"/>
        <v/>
      </c>
      <c r="C26" s="74" t="str">
        <f>IFERROR(INDEX(สรุปใบแจ้งหนี้!D:D,MATCH(ใบแจ้งหนี้!N15,สรุปใบแจ้งหนี้!G:G,0),1),"")</f>
        <v/>
      </c>
      <c r="D26" s="74" t="str">
        <f>IFERROR(INDEX(สรุปใบแจ้งหนี้!E:E,MATCH(ใบแจ้งหนี้!N15,สรุปใบแจ้งหนี้!G:G,0),1),"")</f>
        <v/>
      </c>
      <c r="E26" s="124" t="str">
        <f>IFERROR(INDEX(ข้อมูลสินค้า!C:C,MATCH(ใบแจ้งหนี้!C26,ข้อมูลสินค้า!B:B,0),1),"")</f>
        <v/>
      </c>
      <c r="F26" s="125"/>
      <c r="G26" s="126"/>
      <c r="H26" s="16" t="str">
        <f>IFERROR(INDEX(สรุปใบแจ้งหนี้!F:F,MATCH(ใบแจ้งหนี้!N15,สรุปใบแจ้งหนี้!G:G,0),1),"")</f>
        <v/>
      </c>
      <c r="I26" s="104" t="str">
        <f>IFERROR(INDEX(ข้อมูลสินค้า!D:D,MATCH(C26,ข้อมูลสินค้า!B:B,0),1),"")</f>
        <v/>
      </c>
      <c r="J26" s="24" t="str">
        <f t="shared" si="1"/>
        <v/>
      </c>
      <c r="K26" s="63"/>
      <c r="L26" s="1"/>
      <c r="M26" s="4"/>
    </row>
    <row r="27" spans="1:14" ht="21" x14ac:dyDescent="0.7">
      <c r="A27" s="52"/>
      <c r="B27" s="17" t="str">
        <f t="shared" si="2"/>
        <v/>
      </c>
      <c r="C27" s="74" t="str">
        <f>IFERROR(INDEX(สรุปใบแจ้งหนี้!D:D,MATCH(ใบแจ้งหนี้!N16,สรุปใบแจ้งหนี้!G:G,0),1),"")</f>
        <v/>
      </c>
      <c r="D27" s="74" t="str">
        <f>IFERROR(INDEX(สรุปใบแจ้งหนี้!E:E,MATCH(ใบแจ้งหนี้!N16,สรุปใบแจ้งหนี้!G:G,0),1),"")</f>
        <v/>
      </c>
      <c r="E27" s="124" t="str">
        <f>IFERROR(INDEX(ข้อมูลสินค้า!C:C,MATCH(ใบแจ้งหนี้!C27,ข้อมูลสินค้า!B:B,0),1),"")</f>
        <v/>
      </c>
      <c r="F27" s="125"/>
      <c r="G27" s="126"/>
      <c r="H27" s="16" t="str">
        <f>IFERROR(INDEX(สรุปใบแจ้งหนี้!F:F,MATCH(ใบแจ้งหนี้!N16,สรุปใบแจ้งหนี้!G:G,0),1),"")</f>
        <v/>
      </c>
      <c r="I27" s="104" t="str">
        <f>IFERROR(INDEX(ข้อมูลสินค้า!D:D,MATCH(C27,ข้อมูลสินค้า!B:B,0),1),"")</f>
        <v/>
      </c>
      <c r="J27" s="24" t="str">
        <f t="shared" si="1"/>
        <v/>
      </c>
      <c r="K27" s="63"/>
      <c r="L27" s="1"/>
      <c r="M27" s="4"/>
    </row>
    <row r="28" spans="1:14" ht="21" x14ac:dyDescent="0.7">
      <c r="A28" s="52"/>
      <c r="B28" s="17" t="str">
        <f t="shared" si="2"/>
        <v/>
      </c>
      <c r="C28" s="74" t="str">
        <f>IFERROR(INDEX(สรุปใบแจ้งหนี้!D:D,MATCH(ใบแจ้งหนี้!Q4,สรุปใบแจ้งหนี้!G:G,0),1),"")</f>
        <v/>
      </c>
      <c r="D28" s="74" t="str">
        <f>IFERROR(INDEX(สรุปใบแจ้งหนี้!E:E,MATCH(ใบแจ้งหนี้!Q4,สรุปใบแจ้งหนี้!G:G,0),1),"")</f>
        <v/>
      </c>
      <c r="E28" s="124" t="str">
        <f>IFERROR(INDEX(ข้อมูลสินค้า!C:C,MATCH(ใบแจ้งหนี้!C28,ข้อมูลสินค้า!B:B,0),1),"")</f>
        <v/>
      </c>
      <c r="F28" s="125"/>
      <c r="G28" s="126"/>
      <c r="H28" s="16" t="str">
        <f>IFERROR(INDEX(สรุปใบแจ้งหนี้!F:F,MATCH(ใบแจ้งหนี้!Q4,สรุปใบแจ้งหนี้!G:G,0),1),"")</f>
        <v/>
      </c>
      <c r="I28" s="104" t="str">
        <f>IFERROR(INDEX(ข้อมูลสินค้า!D:D,MATCH(C28,ข้อมูลสินค้า!B:B,0),1),"")</f>
        <v/>
      </c>
      <c r="J28" s="24" t="str">
        <f t="shared" si="1"/>
        <v/>
      </c>
      <c r="K28" s="63"/>
      <c r="L28" s="1"/>
      <c r="M28" s="4"/>
    </row>
    <row r="29" spans="1:14" ht="21" x14ac:dyDescent="0.7">
      <c r="A29" s="52"/>
      <c r="B29" s="18" t="str">
        <f t="shared" si="2"/>
        <v/>
      </c>
      <c r="C29" s="74" t="str">
        <f>IFERROR(INDEX(สรุปใบแจ้งหนี้!D:D,MATCH(ใบแจ้งหนี้!N18,สรุปใบแจ้งหนี้!G:G,0),1),"")</f>
        <v/>
      </c>
      <c r="D29" s="74" t="str">
        <f>IFERROR(INDEX(สรุปใบแจ้งหนี้!E:E,MATCH(ใบแจ้งหนี้!N18,สรุปใบแจ้งหนี้!G:G,0),1),"")</f>
        <v/>
      </c>
      <c r="E29" s="141" t="str">
        <f>IFERROR(INDEX(ข้อมูลสินค้า!C:C,MATCH(ใบแจ้งหนี้!C29,ข้อมูลสินค้า!B:B,0),1),"")</f>
        <v/>
      </c>
      <c r="F29" s="142"/>
      <c r="G29" s="143"/>
      <c r="H29" s="76" t="str">
        <f>IFERROR(INDEX(สรุปใบแจ้งหนี้!F:F,MATCH(ใบแจ้งหนี้!N18,สรุปใบแจ้งหนี้!G:G,0),1),"")</f>
        <v/>
      </c>
      <c r="I29" s="105" t="str">
        <f>IFERROR(INDEX(ข้อมูลสินค้า!D:D,MATCH(C29,ข้อมูลสินค้า!B:B,0),1),"")</f>
        <v/>
      </c>
      <c r="J29" s="77" t="str">
        <f t="shared" si="1"/>
        <v/>
      </c>
      <c r="K29" s="63"/>
      <c r="L29" s="1"/>
      <c r="M29" s="4"/>
    </row>
    <row r="30" spans="1:14" ht="21" x14ac:dyDescent="0.7">
      <c r="A30" s="52"/>
      <c r="B30" s="79" t="s">
        <v>24</v>
      </c>
      <c r="C30" s="80"/>
      <c r="D30" s="81"/>
      <c r="E30" s="81"/>
      <c r="F30" s="81"/>
      <c r="G30" s="81"/>
      <c r="H30" s="81"/>
      <c r="I30" s="19" t="s">
        <v>25</v>
      </c>
      <c r="J30" s="82">
        <f>SUM(J18:J29)</f>
        <v>9027.3840000000018</v>
      </c>
      <c r="K30" s="63"/>
      <c r="L30" s="1"/>
      <c r="M30" s="4"/>
    </row>
    <row r="31" spans="1:14" ht="21" x14ac:dyDescent="0.7">
      <c r="A31" s="52"/>
      <c r="B31" s="66" t="s">
        <v>26</v>
      </c>
      <c r="D31" s="67"/>
      <c r="E31" s="67"/>
      <c r="F31" s="67"/>
      <c r="G31" s="67"/>
      <c r="H31" s="68"/>
      <c r="I31" s="67" t="s">
        <v>27</v>
      </c>
      <c r="J31" s="127">
        <f>J30*0.03</f>
        <v>270.82152000000002</v>
      </c>
      <c r="K31" s="63"/>
      <c r="L31" s="1"/>
      <c r="M31" s="4"/>
    </row>
    <row r="32" spans="1:14" ht="21" x14ac:dyDescent="0.7">
      <c r="A32" s="52"/>
      <c r="B32" s="66" t="s">
        <v>28</v>
      </c>
      <c r="D32" s="67"/>
      <c r="E32" s="67"/>
      <c r="F32" s="67"/>
      <c r="G32" s="67"/>
      <c r="H32" s="68"/>
      <c r="I32" s="69" t="s">
        <v>29</v>
      </c>
      <c r="J32" s="128"/>
      <c r="K32" s="63"/>
      <c r="L32" s="1"/>
      <c r="M32" s="4"/>
    </row>
    <row r="33" spans="1:13" ht="21.5" thickBot="1" x14ac:dyDescent="0.75">
      <c r="A33" s="52"/>
      <c r="B33" s="4"/>
      <c r="C33" s="1"/>
      <c r="D33" s="67"/>
      <c r="E33" s="67"/>
      <c r="F33" s="67"/>
      <c r="G33" s="67"/>
      <c r="H33" s="68"/>
      <c r="I33" s="19" t="s">
        <v>30</v>
      </c>
      <c r="J33" s="85">
        <f>J30-J31</f>
        <v>8756.5624800000023</v>
      </c>
      <c r="K33" s="63"/>
      <c r="L33" s="1"/>
      <c r="M33" s="4"/>
    </row>
    <row r="34" spans="1:13" ht="21.5" thickTop="1" x14ac:dyDescent="0.7">
      <c r="A34" s="52"/>
      <c r="B34" s="4"/>
      <c r="C34" s="1"/>
      <c r="D34" s="67"/>
      <c r="E34" s="67"/>
      <c r="F34" s="67"/>
      <c r="G34" s="67"/>
      <c r="H34" s="68"/>
      <c r="I34" s="65"/>
      <c r="J34" s="95"/>
      <c r="K34" s="63"/>
      <c r="L34" s="1"/>
      <c r="M34" s="4"/>
    </row>
    <row r="35" spans="1:13" ht="17" customHeight="1" thickBot="1" x14ac:dyDescent="0.75">
      <c r="A35" s="52"/>
      <c r="B35" s="83"/>
      <c r="C35" s="83"/>
      <c r="D35" s="84"/>
      <c r="E35" s="84"/>
      <c r="F35" s="84"/>
      <c r="G35" s="84"/>
      <c r="H35" s="84"/>
      <c r="I35" s="84"/>
      <c r="J35" s="84"/>
      <c r="K35" s="62"/>
      <c r="L35" s="4"/>
      <c r="M35" s="4"/>
    </row>
    <row r="36" spans="1:13" ht="17" customHeight="1" thickTop="1" x14ac:dyDescent="0.7">
      <c r="A36" s="52"/>
      <c r="D36" s="87"/>
      <c r="E36" s="4"/>
      <c r="F36" s="4"/>
      <c r="G36" s="4"/>
      <c r="H36" s="87"/>
      <c r="I36" s="4"/>
      <c r="J36" s="4"/>
      <c r="K36" s="62"/>
      <c r="L36" s="4"/>
      <c r="M36" s="4"/>
    </row>
    <row r="37" spans="1:13" ht="17" customHeight="1" x14ac:dyDescent="0.7">
      <c r="A37" s="52"/>
      <c r="D37" s="4"/>
      <c r="E37" s="4"/>
      <c r="F37" s="4"/>
      <c r="G37" s="4"/>
      <c r="H37" s="4"/>
      <c r="I37" s="4"/>
      <c r="J37" s="4"/>
      <c r="K37" s="62"/>
      <c r="L37" s="4"/>
      <c r="M37" s="4"/>
    </row>
    <row r="38" spans="1:13" ht="21.5" customHeight="1" x14ac:dyDescent="0.7">
      <c r="A38" s="52"/>
      <c r="B38" s="45" t="s">
        <v>56</v>
      </c>
      <c r="C38" s="86"/>
      <c r="D38" s="86"/>
      <c r="E38" s="4"/>
      <c r="F38" s="4"/>
      <c r="G38" s="4"/>
      <c r="H38" s="88" t="s">
        <v>31</v>
      </c>
      <c r="J38" s="86" t="s">
        <v>32</v>
      </c>
      <c r="K38" s="62"/>
      <c r="L38" s="4"/>
      <c r="M38" s="4"/>
    </row>
    <row r="39" spans="1:13" ht="21" x14ac:dyDescent="0.7">
      <c r="A39" s="52"/>
      <c r="B39" s="45" t="s">
        <v>59</v>
      </c>
      <c r="D39" s="89" t="s">
        <v>58</v>
      </c>
      <c r="E39" s="4"/>
      <c r="G39" s="4"/>
      <c r="H39" s="4"/>
      <c r="I39" s="4"/>
      <c r="J39" s="144" t="s">
        <v>63</v>
      </c>
      <c r="K39" s="62"/>
      <c r="L39" s="4"/>
      <c r="M39" s="4"/>
    </row>
    <row r="40" spans="1:13" ht="16.5" customHeight="1" x14ac:dyDescent="0.7">
      <c r="A40" s="52"/>
      <c r="C40" s="4"/>
      <c r="D40" s="4" t="s">
        <v>57</v>
      </c>
      <c r="H40" s="3"/>
      <c r="I40" s="4"/>
      <c r="J40" s="121"/>
      <c r="K40" s="58"/>
      <c r="M40" s="4"/>
    </row>
    <row r="41" spans="1:13" ht="28.5" customHeight="1" x14ac:dyDescent="0.7">
      <c r="A41" s="52"/>
      <c r="B41" s="67" t="s">
        <v>60</v>
      </c>
      <c r="C41" s="90"/>
      <c r="D41" s="4" t="s">
        <v>0</v>
      </c>
      <c r="H41" s="3"/>
      <c r="J41" s="8">
        <f ca="1">TODAY()</f>
        <v>46189</v>
      </c>
      <c r="K41" s="58"/>
      <c r="M41" s="4"/>
    </row>
    <row r="42" spans="1:13" ht="18.5" customHeight="1" x14ac:dyDescent="0.7">
      <c r="A42" s="52"/>
      <c r="D42" s="4" t="s">
        <v>2</v>
      </c>
      <c r="H42" s="91" t="s">
        <v>33</v>
      </c>
      <c r="J42" s="91" t="s">
        <v>33</v>
      </c>
      <c r="K42" s="58"/>
      <c r="M42" s="4"/>
    </row>
    <row r="43" spans="1:13" ht="21" x14ac:dyDescent="0.7">
      <c r="A43" s="52"/>
      <c r="B43" s="45" t="s">
        <v>61</v>
      </c>
      <c r="D43" s="4" t="s">
        <v>62</v>
      </c>
      <c r="K43" s="58"/>
      <c r="M43" s="4"/>
    </row>
    <row r="44" spans="1:13" ht="21" x14ac:dyDescent="0.7">
      <c r="A44" s="52"/>
      <c r="B44" s="4"/>
      <c r="C44" s="4"/>
      <c r="D44" s="4"/>
      <c r="E44" s="4"/>
      <c r="F44" s="4"/>
      <c r="G44" s="4"/>
      <c r="H44" s="4"/>
      <c r="I44" s="4"/>
      <c r="J44" s="4"/>
      <c r="K44" s="62"/>
      <c r="L44" s="4"/>
      <c r="M44" s="4"/>
    </row>
    <row r="45" spans="1:13" ht="21" x14ac:dyDescent="0.7">
      <c r="A45" s="52"/>
      <c r="B45" s="4"/>
      <c r="C45" s="4"/>
      <c r="D45" s="4"/>
      <c r="E45" s="4"/>
      <c r="F45" s="4"/>
      <c r="G45" s="4"/>
      <c r="H45" s="4"/>
      <c r="I45" s="4"/>
      <c r="J45" s="4"/>
      <c r="K45" s="62"/>
      <c r="L45" s="4"/>
      <c r="M45" s="4"/>
    </row>
    <row r="46" spans="1:13" ht="21" x14ac:dyDescent="0.7">
      <c r="A46" s="52"/>
      <c r="B46" s="4"/>
      <c r="C46" s="4"/>
      <c r="D46" s="4"/>
      <c r="E46" s="4"/>
      <c r="F46" s="4"/>
      <c r="G46" s="4"/>
      <c r="H46" s="4"/>
      <c r="I46" s="4"/>
      <c r="J46" s="4"/>
      <c r="K46" s="62"/>
      <c r="L46" s="4"/>
      <c r="M46" s="4"/>
    </row>
    <row r="47" spans="1:13" ht="21.5" thickBot="1" x14ac:dyDescent="0.75">
      <c r="A47" s="70"/>
      <c r="B47" s="71"/>
      <c r="C47" s="71"/>
      <c r="D47" s="71"/>
      <c r="E47" s="71"/>
      <c r="F47" s="71"/>
      <c r="G47" s="71"/>
      <c r="H47" s="71"/>
      <c r="I47" s="71"/>
      <c r="J47" s="71"/>
      <c r="K47" s="72"/>
      <c r="L47" s="1"/>
      <c r="M47" s="1"/>
    </row>
    <row r="50" spans="5:12" ht="21" x14ac:dyDescent="0.7">
      <c r="E50" s="4"/>
      <c r="F50" s="4"/>
      <c r="G50" s="4"/>
      <c r="H50" s="4"/>
      <c r="K50" s="4"/>
      <c r="L50" s="4"/>
    </row>
    <row r="51" spans="5:12" ht="21" x14ac:dyDescent="0.7">
      <c r="H51" s="4"/>
      <c r="I51" s="3"/>
      <c r="J51" s="3"/>
      <c r="K51" s="3"/>
      <c r="L51" s="4"/>
    </row>
    <row r="52" spans="5:12" ht="21" x14ac:dyDescent="0.7">
      <c r="E52" s="3"/>
      <c r="F52" s="4"/>
      <c r="G52" s="4"/>
      <c r="H52" s="4"/>
      <c r="J52" s="3"/>
      <c r="K52" s="3"/>
      <c r="L52" s="4"/>
    </row>
  </sheetData>
  <mergeCells count="18">
    <mergeCell ref="J39:J40"/>
    <mergeCell ref="E23:G23"/>
    <mergeCell ref="E24:G24"/>
    <mergeCell ref="E25:G25"/>
    <mergeCell ref="E26:G26"/>
    <mergeCell ref="E27:G27"/>
    <mergeCell ref="E28:G28"/>
    <mergeCell ref="J7:J8"/>
    <mergeCell ref="J9:J10"/>
    <mergeCell ref="E21:G21"/>
    <mergeCell ref="E22:G22"/>
    <mergeCell ref="J31:J32"/>
    <mergeCell ref="E16:G16"/>
    <mergeCell ref="E17:G17"/>
    <mergeCell ref="E18:G18"/>
    <mergeCell ref="E19:G19"/>
    <mergeCell ref="E20:G20"/>
    <mergeCell ref="E29:G29"/>
  </mergeCells>
  <printOptions horizontalCentered="1"/>
  <pageMargins left="0.23622047244094491" right="0.23622047244094491" top="0.74803149606299213" bottom="0.74803149606299213" header="0.39370078740157483" footer="0.31496062992125984"/>
  <pageSetup paperSize="9" scale="70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3BCC7-71E4-4675-AB92-567C9FEE1BFF}">
  <dimension ref="A1:G200"/>
  <sheetViews>
    <sheetView zoomScale="145" zoomScaleNormal="145" workbookViewId="0">
      <selection activeCell="B2" sqref="B2"/>
    </sheetView>
  </sheetViews>
  <sheetFormatPr defaultRowHeight="17" x14ac:dyDescent="0.6"/>
  <cols>
    <col min="1" max="1" width="10.1640625" style="117" customWidth="1"/>
    <col min="2" max="4" width="10.1640625" style="113" customWidth="1"/>
    <col min="5" max="5" width="11.33203125" style="113" bestFit="1" customWidth="1"/>
    <col min="6" max="6" width="10.1640625" style="113" customWidth="1"/>
    <col min="7" max="7" width="12.33203125" style="113" customWidth="1"/>
    <col min="8" max="16384" width="8.6640625" style="109"/>
  </cols>
  <sheetData>
    <row r="1" spans="1:7" x14ac:dyDescent="0.6">
      <c r="A1" s="106" t="s">
        <v>37</v>
      </c>
      <c r="B1" s="107" t="s">
        <v>9</v>
      </c>
      <c r="C1" s="107" t="s">
        <v>8</v>
      </c>
      <c r="D1" s="107" t="s">
        <v>64</v>
      </c>
      <c r="E1" s="107" t="s">
        <v>13</v>
      </c>
      <c r="F1" s="107" t="s">
        <v>15</v>
      </c>
      <c r="G1" s="108" t="s">
        <v>53</v>
      </c>
    </row>
    <row r="2" spans="1:7" ht="18" x14ac:dyDescent="0.6">
      <c r="A2" s="110">
        <v>46143</v>
      </c>
      <c r="B2" s="111">
        <v>20260501</v>
      </c>
      <c r="C2" s="111" t="s">
        <v>38</v>
      </c>
      <c r="D2" s="111" t="s">
        <v>65</v>
      </c>
      <c r="E2" s="28" t="s">
        <v>66</v>
      </c>
      <c r="F2" s="112">
        <v>6007</v>
      </c>
      <c r="G2" s="113" t="str">
        <f>COUNTIF($B$2:B2,B2)&amp;" : "&amp;B2</f>
        <v>1 : 20260501</v>
      </c>
    </row>
    <row r="3" spans="1:7" ht="18" x14ac:dyDescent="0.6">
      <c r="A3" s="110">
        <v>46143</v>
      </c>
      <c r="B3" s="111">
        <v>20260501</v>
      </c>
      <c r="C3" s="111" t="s">
        <v>38</v>
      </c>
      <c r="D3" s="111" t="s">
        <v>65</v>
      </c>
      <c r="E3" s="31" t="s">
        <v>35</v>
      </c>
      <c r="F3" s="114">
        <v>5990</v>
      </c>
      <c r="G3" s="113" t="str">
        <f>COUNTIF($B$2:B3,B3)&amp;" : "&amp;B3</f>
        <v>2 : 20260501</v>
      </c>
    </row>
    <row r="4" spans="1:7" x14ac:dyDescent="0.6">
      <c r="A4" s="110">
        <v>46143</v>
      </c>
      <c r="B4" s="111">
        <v>20260501</v>
      </c>
      <c r="C4" s="111" t="s">
        <v>38</v>
      </c>
      <c r="D4" s="111"/>
      <c r="E4" s="115" t="s">
        <v>36</v>
      </c>
      <c r="F4" s="114">
        <v>1</v>
      </c>
      <c r="G4" s="113" t="str">
        <f>COUNTIF($B$2:B4,B4)&amp;" : "&amp;B4</f>
        <v>3 : 20260501</v>
      </c>
    </row>
    <row r="5" spans="1:7" ht="18" x14ac:dyDescent="0.6">
      <c r="A5" s="116"/>
      <c r="B5" s="115"/>
      <c r="C5" s="111"/>
      <c r="D5" s="111"/>
      <c r="E5" s="28"/>
      <c r="F5" s="114"/>
      <c r="G5" s="113" t="str">
        <f>COUNTIF($B$2:B5,B5)&amp;" : "&amp;B5</f>
        <v xml:space="preserve">0 : </v>
      </c>
    </row>
    <row r="6" spans="1:7" ht="18" x14ac:dyDescent="0.6">
      <c r="A6" s="116"/>
      <c r="B6" s="115"/>
      <c r="C6" s="111"/>
      <c r="D6" s="111"/>
      <c r="E6" s="31"/>
      <c r="F6" s="114"/>
      <c r="G6" s="113" t="str">
        <f>COUNTIF($B$2:B6,B6)&amp;" : "&amp;B6</f>
        <v xml:space="preserve">0 : </v>
      </c>
    </row>
    <row r="7" spans="1:7" ht="18" x14ac:dyDescent="0.6">
      <c r="A7" s="116"/>
      <c r="B7" s="115"/>
      <c r="C7" s="111"/>
      <c r="D7" s="28"/>
      <c r="E7" s="32"/>
      <c r="F7" s="115"/>
      <c r="G7" s="113" t="str">
        <f>COUNTIF($B$2:B7,B7)&amp;" : "&amp;B7</f>
        <v xml:space="preserve">0 : </v>
      </c>
    </row>
    <row r="8" spans="1:7" ht="18" x14ac:dyDescent="0.6">
      <c r="A8" s="116"/>
      <c r="B8" s="115"/>
      <c r="C8" s="111"/>
      <c r="D8" s="28"/>
      <c r="E8" s="32"/>
      <c r="F8" s="115"/>
      <c r="G8" s="113" t="str">
        <f>COUNTIF($B$2:B8,B8)&amp;" : "&amp;B8</f>
        <v xml:space="preserve">0 : </v>
      </c>
    </row>
    <row r="9" spans="1:7" ht="18" x14ac:dyDescent="0.6">
      <c r="A9" s="116"/>
      <c r="B9" s="115"/>
      <c r="C9" s="111"/>
      <c r="D9" s="28"/>
      <c r="E9" s="32"/>
      <c r="F9" s="115"/>
      <c r="G9" s="113" t="str">
        <f>COUNTIF($B$2:B9,B9)&amp;" : "&amp;B9</f>
        <v xml:space="preserve">0 : </v>
      </c>
    </row>
    <row r="10" spans="1:7" x14ac:dyDescent="0.6">
      <c r="A10" s="116"/>
      <c r="B10" s="115"/>
      <c r="C10" s="115"/>
      <c r="D10" s="115"/>
      <c r="E10" s="115"/>
      <c r="F10" s="115"/>
      <c r="G10" s="113" t="str">
        <f>COUNTIF($B$2:B10,B10)&amp;" : "&amp;B10</f>
        <v xml:space="preserve">0 : </v>
      </c>
    </row>
    <row r="11" spans="1:7" x14ac:dyDescent="0.6">
      <c r="A11" s="116"/>
      <c r="B11" s="115"/>
      <c r="C11" s="115"/>
      <c r="D11" s="115"/>
      <c r="E11" s="115"/>
      <c r="F11" s="115"/>
      <c r="G11" s="113" t="str">
        <f>COUNTIF($B$2:B11,B11)&amp;" : "&amp;B11</f>
        <v xml:space="preserve">0 : </v>
      </c>
    </row>
    <row r="12" spans="1:7" x14ac:dyDescent="0.6">
      <c r="A12" s="116"/>
      <c r="B12" s="115"/>
      <c r="C12" s="115"/>
      <c r="D12" s="115"/>
      <c r="E12" s="115"/>
      <c r="F12" s="115"/>
      <c r="G12" s="113" t="str">
        <f>COUNTIF($B$2:B12,B12)&amp;" : "&amp;B12</f>
        <v xml:space="preserve">0 : </v>
      </c>
    </row>
    <row r="13" spans="1:7" x14ac:dyDescent="0.6">
      <c r="A13" s="116"/>
      <c r="B13" s="115"/>
      <c r="C13" s="115"/>
      <c r="D13" s="115"/>
      <c r="E13" s="115"/>
      <c r="F13" s="115"/>
      <c r="G13" s="113" t="str">
        <f>COUNTIF($B$2:B13,B13)&amp;" : "&amp;B13</f>
        <v xml:space="preserve">0 : </v>
      </c>
    </row>
    <row r="14" spans="1:7" x14ac:dyDescent="0.6">
      <c r="A14" s="116"/>
      <c r="B14" s="115"/>
      <c r="C14" s="115"/>
      <c r="D14" s="115"/>
      <c r="E14" s="115"/>
      <c r="F14" s="115"/>
      <c r="G14" s="113" t="str">
        <f>COUNTIF($B$2:B14,B14)&amp;" : "&amp;B14</f>
        <v xml:space="preserve">0 : </v>
      </c>
    </row>
    <row r="15" spans="1:7" x14ac:dyDescent="0.6">
      <c r="A15" s="116"/>
      <c r="B15" s="115"/>
      <c r="C15" s="115"/>
      <c r="D15" s="115"/>
      <c r="E15" s="115"/>
      <c r="F15" s="115"/>
      <c r="G15" s="113" t="str">
        <f>COUNTIF($B$2:B15,B15)&amp;" : "&amp;B15</f>
        <v xml:space="preserve">0 : </v>
      </c>
    </row>
    <row r="16" spans="1:7" x14ac:dyDescent="0.6">
      <c r="A16" s="116"/>
      <c r="B16" s="115"/>
      <c r="C16" s="115"/>
      <c r="D16" s="115"/>
      <c r="E16" s="115"/>
      <c r="F16" s="115"/>
      <c r="G16" s="113" t="str">
        <f>COUNTIF($B$2:B16,B16)&amp;" : "&amp;B16</f>
        <v xml:space="preserve">0 : </v>
      </c>
    </row>
    <row r="17" spans="1:7" x14ac:dyDescent="0.6">
      <c r="A17" s="116"/>
      <c r="B17" s="115"/>
      <c r="C17" s="115"/>
      <c r="D17" s="115"/>
      <c r="E17" s="115"/>
      <c r="F17" s="115"/>
      <c r="G17" s="113" t="str">
        <f>COUNTIF($B$2:B17,B17)&amp;" : "&amp;B17</f>
        <v xml:space="preserve">0 : </v>
      </c>
    </row>
    <row r="18" spans="1:7" x14ac:dyDescent="0.6">
      <c r="A18" s="116"/>
      <c r="B18" s="115"/>
      <c r="C18" s="115"/>
      <c r="D18" s="115"/>
      <c r="E18" s="115"/>
      <c r="F18" s="115"/>
      <c r="G18" s="113" t="str">
        <f>COUNTIF($B$2:B18,B18)&amp;" : "&amp;B18</f>
        <v xml:space="preserve">0 : </v>
      </c>
    </row>
    <row r="19" spans="1:7" x14ac:dyDescent="0.6">
      <c r="A19" s="116"/>
      <c r="B19" s="115"/>
      <c r="C19" s="115"/>
      <c r="D19" s="115"/>
      <c r="E19" s="115"/>
      <c r="F19" s="115"/>
      <c r="G19" s="113" t="str">
        <f>COUNTIF($B$2:B19,B19)&amp;" : "&amp;B19</f>
        <v xml:space="preserve">0 : </v>
      </c>
    </row>
    <row r="20" spans="1:7" x14ac:dyDescent="0.6">
      <c r="A20" s="116"/>
      <c r="B20" s="115"/>
      <c r="C20" s="115"/>
      <c r="D20" s="115"/>
      <c r="E20" s="115"/>
      <c r="F20" s="115"/>
      <c r="G20" s="113" t="str">
        <f>COUNTIF($B$2:B20,B20)&amp;" : "&amp;B20</f>
        <v xml:space="preserve">0 : </v>
      </c>
    </row>
    <row r="21" spans="1:7" x14ac:dyDescent="0.6">
      <c r="A21" s="116"/>
      <c r="B21" s="115"/>
      <c r="C21" s="115"/>
      <c r="D21" s="115"/>
      <c r="E21" s="115"/>
      <c r="F21" s="115"/>
      <c r="G21" s="113" t="str">
        <f>COUNTIF($B$2:B21,B21)&amp;" : "&amp;B21</f>
        <v xml:space="preserve">0 : </v>
      </c>
    </row>
    <row r="22" spans="1:7" x14ac:dyDescent="0.6">
      <c r="A22" s="116"/>
      <c r="B22" s="115"/>
      <c r="C22" s="115"/>
      <c r="D22" s="115"/>
      <c r="E22" s="115"/>
      <c r="F22" s="115"/>
      <c r="G22" s="113" t="str">
        <f>COUNTIF($B$2:B22,B22)&amp;" : "&amp;B22</f>
        <v xml:space="preserve">0 : </v>
      </c>
    </row>
    <row r="23" spans="1:7" x14ac:dyDescent="0.6">
      <c r="A23" s="116"/>
      <c r="B23" s="115"/>
      <c r="C23" s="115"/>
      <c r="D23" s="115"/>
      <c r="E23" s="115"/>
      <c r="F23" s="115"/>
      <c r="G23" s="113" t="str">
        <f>COUNTIF($B$2:B23,B23)&amp;" : "&amp;B23</f>
        <v xml:space="preserve">0 : </v>
      </c>
    </row>
    <row r="24" spans="1:7" x14ac:dyDescent="0.6">
      <c r="A24" s="116"/>
      <c r="B24" s="115"/>
      <c r="C24" s="115"/>
      <c r="D24" s="115"/>
      <c r="E24" s="115"/>
      <c r="F24" s="115"/>
      <c r="G24" s="113" t="str">
        <f>COUNTIF($B$2:B24,B24)&amp;" : "&amp;B24</f>
        <v xml:space="preserve">0 : </v>
      </c>
    </row>
    <row r="25" spans="1:7" x14ac:dyDescent="0.6">
      <c r="A25" s="116"/>
      <c r="B25" s="115"/>
      <c r="C25" s="115"/>
      <c r="D25" s="115"/>
      <c r="E25" s="115"/>
      <c r="F25" s="115"/>
      <c r="G25" s="113" t="str">
        <f>COUNTIF($B$2:B25,B25)&amp;" : "&amp;B25</f>
        <v xml:space="preserve">0 : </v>
      </c>
    </row>
    <row r="26" spans="1:7" x14ac:dyDescent="0.6">
      <c r="A26" s="116"/>
      <c r="B26" s="115"/>
      <c r="C26" s="115"/>
      <c r="D26" s="115"/>
      <c r="E26" s="115"/>
      <c r="F26" s="115"/>
      <c r="G26" s="113" t="str">
        <f>COUNTIF($B$2:B26,B26)&amp;" : "&amp;B26</f>
        <v xml:space="preserve">0 : </v>
      </c>
    </row>
    <row r="27" spans="1:7" x14ac:dyDescent="0.6">
      <c r="A27" s="116"/>
      <c r="B27" s="115"/>
      <c r="C27" s="115"/>
      <c r="D27" s="115"/>
      <c r="E27" s="115"/>
      <c r="F27" s="115"/>
      <c r="G27" s="113" t="str">
        <f>COUNTIF($B$2:B27,B27)&amp;" : "&amp;B27</f>
        <v xml:space="preserve">0 : </v>
      </c>
    </row>
    <row r="28" spans="1:7" x14ac:dyDescent="0.6">
      <c r="A28" s="116"/>
      <c r="B28" s="115"/>
      <c r="C28" s="115"/>
      <c r="D28" s="115"/>
      <c r="E28" s="115"/>
      <c r="F28" s="115"/>
      <c r="G28" s="113" t="str">
        <f>COUNTIF($B$2:B28,B28)&amp;" : "&amp;B28</f>
        <v xml:space="preserve">0 : </v>
      </c>
    </row>
    <row r="29" spans="1:7" x14ac:dyDescent="0.6">
      <c r="A29" s="116"/>
      <c r="B29" s="115"/>
      <c r="C29" s="115"/>
      <c r="D29" s="115"/>
      <c r="E29" s="115"/>
      <c r="F29" s="115"/>
      <c r="G29" s="113" t="str">
        <f>COUNTIF($B$2:B29,B29)&amp;" : "&amp;B29</f>
        <v xml:space="preserve">0 : </v>
      </c>
    </row>
    <row r="30" spans="1:7" x14ac:dyDescent="0.6">
      <c r="A30" s="116"/>
      <c r="B30" s="115"/>
      <c r="C30" s="115"/>
      <c r="D30" s="115"/>
      <c r="E30" s="115"/>
      <c r="F30" s="115"/>
      <c r="G30" s="113" t="str">
        <f>COUNTIF($B$2:B30,B30)&amp;" : "&amp;B30</f>
        <v xml:space="preserve">0 : </v>
      </c>
    </row>
    <row r="31" spans="1:7" x14ac:dyDescent="0.6">
      <c r="A31" s="116"/>
      <c r="B31" s="115"/>
      <c r="C31" s="115"/>
      <c r="D31" s="115"/>
      <c r="E31" s="115"/>
      <c r="F31" s="115"/>
      <c r="G31" s="113" t="str">
        <f>COUNTIF($B$2:B31,B31)&amp;" : "&amp;B31</f>
        <v xml:space="preserve">0 : </v>
      </c>
    </row>
    <row r="32" spans="1:7" x14ac:dyDescent="0.6">
      <c r="A32" s="116"/>
      <c r="B32" s="115"/>
      <c r="C32" s="115"/>
      <c r="D32" s="115"/>
      <c r="E32" s="115"/>
      <c r="F32" s="115"/>
      <c r="G32" s="113" t="str">
        <f>COUNTIF($B$2:B32,B32)&amp;" : "&amp;B32</f>
        <v xml:space="preserve">0 : </v>
      </c>
    </row>
    <row r="33" spans="1:7" x14ac:dyDescent="0.6">
      <c r="A33" s="116"/>
      <c r="B33" s="115"/>
      <c r="C33" s="115"/>
      <c r="D33" s="115"/>
      <c r="E33" s="115"/>
      <c r="F33" s="115"/>
      <c r="G33" s="113" t="str">
        <f>COUNTIF($B$2:B33,B33)&amp;" : "&amp;B33</f>
        <v xml:space="preserve">0 : </v>
      </c>
    </row>
    <row r="34" spans="1:7" x14ac:dyDescent="0.6">
      <c r="A34" s="116"/>
      <c r="B34" s="115"/>
      <c r="C34" s="115"/>
      <c r="D34" s="115"/>
      <c r="E34" s="115"/>
      <c r="F34" s="115"/>
      <c r="G34" s="113" t="str">
        <f>COUNTIF($B$2:B34,B34)&amp;" : "&amp;B34</f>
        <v xml:space="preserve">0 : </v>
      </c>
    </row>
    <row r="35" spans="1:7" x14ac:dyDescent="0.6">
      <c r="A35" s="116"/>
      <c r="B35" s="115"/>
      <c r="C35" s="115"/>
      <c r="D35" s="115"/>
      <c r="E35" s="115"/>
      <c r="F35" s="115"/>
      <c r="G35" s="113" t="str">
        <f>COUNTIF($B$2:B35,B35)&amp;" : "&amp;B35</f>
        <v xml:space="preserve">0 : </v>
      </c>
    </row>
    <row r="36" spans="1:7" x14ac:dyDescent="0.6">
      <c r="A36" s="116"/>
      <c r="B36" s="115"/>
      <c r="C36" s="115"/>
      <c r="D36" s="115"/>
      <c r="E36" s="115"/>
      <c r="F36" s="115"/>
      <c r="G36" s="113" t="str">
        <f>COUNTIF($B$2:B36,B36)&amp;" : "&amp;B36</f>
        <v xml:space="preserve">0 : </v>
      </c>
    </row>
    <row r="37" spans="1:7" x14ac:dyDescent="0.6">
      <c r="A37" s="116"/>
      <c r="B37" s="115"/>
      <c r="C37" s="115"/>
      <c r="D37" s="115"/>
      <c r="E37" s="115"/>
      <c r="F37" s="115"/>
      <c r="G37" s="113" t="str">
        <f>COUNTIF($B$2:B37,B37)&amp;" : "&amp;B37</f>
        <v xml:space="preserve">0 : </v>
      </c>
    </row>
    <row r="38" spans="1:7" x14ac:dyDescent="0.6">
      <c r="A38" s="116"/>
      <c r="B38" s="115"/>
      <c r="C38" s="115"/>
      <c r="D38" s="115"/>
      <c r="E38" s="115"/>
      <c r="F38" s="115"/>
      <c r="G38" s="113" t="str">
        <f>COUNTIF($B$2:B38,B38)&amp;" : "&amp;B38</f>
        <v xml:space="preserve">0 : </v>
      </c>
    </row>
    <row r="39" spans="1:7" x14ac:dyDescent="0.6">
      <c r="A39" s="116"/>
      <c r="B39" s="115"/>
      <c r="C39" s="115"/>
      <c r="D39" s="115"/>
      <c r="E39" s="115"/>
      <c r="F39" s="115"/>
      <c r="G39" s="113" t="str">
        <f>COUNTIF($B$2:B39,B39)&amp;" : "&amp;B39</f>
        <v xml:space="preserve">0 : </v>
      </c>
    </row>
    <row r="40" spans="1:7" x14ac:dyDescent="0.6">
      <c r="A40" s="116"/>
      <c r="B40" s="115"/>
      <c r="C40" s="115"/>
      <c r="D40" s="115"/>
      <c r="E40" s="115"/>
      <c r="F40" s="115"/>
      <c r="G40" s="113" t="str">
        <f>COUNTIF($B$2:B40,B40)&amp;" : "&amp;B40</f>
        <v xml:space="preserve">0 : </v>
      </c>
    </row>
    <row r="41" spans="1:7" x14ac:dyDescent="0.6">
      <c r="A41" s="116"/>
      <c r="B41" s="115"/>
      <c r="C41" s="115"/>
      <c r="D41" s="115"/>
      <c r="E41" s="115"/>
      <c r="F41" s="115"/>
      <c r="G41" s="113" t="str">
        <f>COUNTIF($B$2:B41,B41)&amp;" : "&amp;B41</f>
        <v xml:space="preserve">0 : </v>
      </c>
    </row>
    <row r="42" spans="1:7" x14ac:dyDescent="0.6">
      <c r="A42" s="116"/>
      <c r="B42" s="115"/>
      <c r="C42" s="115"/>
      <c r="D42" s="115"/>
      <c r="E42" s="115"/>
      <c r="F42" s="115"/>
      <c r="G42" s="113" t="str">
        <f>COUNTIF($B$2:B42,B42)&amp;" : "&amp;B42</f>
        <v xml:space="preserve">0 : </v>
      </c>
    </row>
    <row r="43" spans="1:7" x14ac:dyDescent="0.6">
      <c r="A43" s="116"/>
      <c r="B43" s="115"/>
      <c r="C43" s="115"/>
      <c r="D43" s="115"/>
      <c r="E43" s="115"/>
      <c r="F43" s="115"/>
      <c r="G43" s="113" t="str">
        <f>COUNTIF($B$2:B43,B43)&amp;" : "&amp;B43</f>
        <v xml:space="preserve">0 : </v>
      </c>
    </row>
    <row r="44" spans="1:7" x14ac:dyDescent="0.6">
      <c r="A44" s="116"/>
      <c r="B44" s="115"/>
      <c r="C44" s="115"/>
      <c r="D44" s="115"/>
      <c r="E44" s="115"/>
      <c r="F44" s="115"/>
      <c r="G44" s="113" t="str">
        <f>COUNTIF($B$2:B44,B44)&amp;" : "&amp;B44</f>
        <v xml:space="preserve">0 : </v>
      </c>
    </row>
    <row r="45" spans="1:7" x14ac:dyDescent="0.6">
      <c r="A45" s="116"/>
      <c r="B45" s="115"/>
      <c r="C45" s="115"/>
      <c r="D45" s="115"/>
      <c r="E45" s="115"/>
      <c r="F45" s="115"/>
      <c r="G45" s="113" t="str">
        <f>COUNTIF($B$2:B45,B45)&amp;" : "&amp;B45</f>
        <v xml:space="preserve">0 : </v>
      </c>
    </row>
    <row r="46" spans="1:7" x14ac:dyDescent="0.6">
      <c r="A46" s="116"/>
      <c r="B46" s="115"/>
      <c r="C46" s="115"/>
      <c r="D46" s="115"/>
      <c r="E46" s="115"/>
      <c r="F46" s="115"/>
      <c r="G46" s="113" t="str">
        <f>COUNTIF($B$2:B46,B46)&amp;" : "&amp;B46</f>
        <v xml:space="preserve">0 : </v>
      </c>
    </row>
    <row r="47" spans="1:7" x14ac:dyDescent="0.6">
      <c r="A47" s="116"/>
      <c r="B47" s="115"/>
      <c r="C47" s="115"/>
      <c r="D47" s="115"/>
      <c r="E47" s="115"/>
      <c r="F47" s="115"/>
      <c r="G47" s="113" t="str">
        <f>COUNTIF($B$2:B47,B47)&amp;" : "&amp;B47</f>
        <v xml:space="preserve">0 : </v>
      </c>
    </row>
    <row r="48" spans="1:7" x14ac:dyDescent="0.6">
      <c r="A48" s="116"/>
      <c r="B48" s="115"/>
      <c r="C48" s="115"/>
      <c r="D48" s="115"/>
      <c r="E48" s="115"/>
      <c r="F48" s="115"/>
      <c r="G48" s="113" t="str">
        <f>COUNTIF($B$2:B48,B48)&amp;" : "&amp;B48</f>
        <v xml:space="preserve">0 : </v>
      </c>
    </row>
    <row r="49" spans="1:7" x14ac:dyDescent="0.6">
      <c r="A49" s="116"/>
      <c r="B49" s="115"/>
      <c r="C49" s="115"/>
      <c r="D49" s="115"/>
      <c r="E49" s="115"/>
      <c r="F49" s="115"/>
      <c r="G49" s="113" t="str">
        <f>COUNTIF($B$2:B49,B49)&amp;" : "&amp;B49</f>
        <v xml:space="preserve">0 : </v>
      </c>
    </row>
    <row r="50" spans="1:7" x14ac:dyDescent="0.6">
      <c r="A50" s="116"/>
      <c r="B50" s="115"/>
      <c r="C50" s="115"/>
      <c r="D50" s="115"/>
      <c r="E50" s="115"/>
      <c r="F50" s="115"/>
      <c r="G50" s="113" t="str">
        <f>COUNTIF($B$2:B50,B50)&amp;" : "&amp;B50</f>
        <v xml:space="preserve">0 : </v>
      </c>
    </row>
    <row r="51" spans="1:7" x14ac:dyDescent="0.6">
      <c r="A51" s="116"/>
      <c r="B51" s="115"/>
      <c r="C51" s="115"/>
      <c r="D51" s="115"/>
      <c r="E51" s="115"/>
      <c r="F51" s="115"/>
      <c r="G51" s="113" t="str">
        <f>COUNTIF($B$2:B51,B51)&amp;" : "&amp;B51</f>
        <v xml:space="preserve">0 : </v>
      </c>
    </row>
    <row r="52" spans="1:7" x14ac:dyDescent="0.6">
      <c r="A52" s="116"/>
      <c r="B52" s="115"/>
      <c r="C52" s="115"/>
      <c r="D52" s="115"/>
      <c r="E52" s="115"/>
      <c r="F52" s="115"/>
      <c r="G52" s="113" t="str">
        <f>COUNTIF($B$2:B52,B52)&amp;" : "&amp;B52</f>
        <v xml:space="preserve">0 : </v>
      </c>
    </row>
    <row r="53" spans="1:7" x14ac:dyDescent="0.6">
      <c r="A53" s="116"/>
      <c r="B53" s="115"/>
      <c r="C53" s="115"/>
      <c r="D53" s="115"/>
      <c r="E53" s="115"/>
      <c r="F53" s="115"/>
      <c r="G53" s="113" t="str">
        <f>COUNTIF($B$2:B53,B53)&amp;" : "&amp;B53</f>
        <v xml:space="preserve">0 : </v>
      </c>
    </row>
    <row r="54" spans="1:7" x14ac:dyDescent="0.6">
      <c r="A54" s="116"/>
      <c r="B54" s="115"/>
      <c r="C54" s="115"/>
      <c r="D54" s="115"/>
      <c r="E54" s="115"/>
      <c r="F54" s="115"/>
      <c r="G54" s="113" t="str">
        <f>COUNTIF($B$2:B54,B54)&amp;" : "&amp;B54</f>
        <v xml:space="preserve">0 : </v>
      </c>
    </row>
    <row r="55" spans="1:7" x14ac:dyDescent="0.6">
      <c r="A55" s="116"/>
      <c r="B55" s="115"/>
      <c r="C55" s="115"/>
      <c r="D55" s="115"/>
      <c r="E55" s="115"/>
      <c r="F55" s="115"/>
      <c r="G55" s="113" t="str">
        <f>COUNTIF($B$2:B55,B55)&amp;" : "&amp;B55</f>
        <v xml:space="preserve">0 : </v>
      </c>
    </row>
    <row r="56" spans="1:7" x14ac:dyDescent="0.6">
      <c r="A56" s="116"/>
      <c r="B56" s="115"/>
      <c r="C56" s="115"/>
      <c r="D56" s="115"/>
      <c r="E56" s="115"/>
      <c r="F56" s="115"/>
      <c r="G56" s="113" t="str">
        <f>COUNTIF($B$2:B56,B56)&amp;" : "&amp;B56</f>
        <v xml:space="preserve">0 : </v>
      </c>
    </row>
    <row r="57" spans="1:7" x14ac:dyDescent="0.6">
      <c r="A57" s="116"/>
      <c r="B57" s="115"/>
      <c r="C57" s="115"/>
      <c r="D57" s="115"/>
      <c r="E57" s="115"/>
      <c r="F57" s="115"/>
      <c r="G57" s="113" t="str">
        <f>COUNTIF($B$2:B57,B57)&amp;" : "&amp;B57</f>
        <v xml:space="preserve">0 : </v>
      </c>
    </row>
    <row r="58" spans="1:7" x14ac:dyDescent="0.6">
      <c r="A58" s="116"/>
      <c r="B58" s="115"/>
      <c r="C58" s="115"/>
      <c r="D58" s="115"/>
      <c r="E58" s="115"/>
      <c r="F58" s="115"/>
      <c r="G58" s="113" t="str">
        <f>COUNTIF($B$2:B58,B58)&amp;" : "&amp;B58</f>
        <v xml:space="preserve">0 : </v>
      </c>
    </row>
    <row r="59" spans="1:7" x14ac:dyDescent="0.6">
      <c r="A59" s="116"/>
      <c r="B59" s="115"/>
      <c r="C59" s="115"/>
      <c r="D59" s="115"/>
      <c r="E59" s="115"/>
      <c r="F59" s="115"/>
      <c r="G59" s="113" t="str">
        <f>COUNTIF($B$2:B59,B59)&amp;" : "&amp;B59</f>
        <v xml:space="preserve">0 : </v>
      </c>
    </row>
    <row r="60" spans="1:7" x14ac:dyDescent="0.6">
      <c r="A60" s="116"/>
      <c r="B60" s="115"/>
      <c r="C60" s="115"/>
      <c r="D60" s="115"/>
      <c r="E60" s="115"/>
      <c r="F60" s="115"/>
      <c r="G60" s="113" t="str">
        <f>COUNTIF($B$2:B60,B60)&amp;" : "&amp;B60</f>
        <v xml:space="preserve">0 : </v>
      </c>
    </row>
    <row r="61" spans="1:7" x14ac:dyDescent="0.6">
      <c r="A61" s="116"/>
      <c r="B61" s="115"/>
      <c r="C61" s="115"/>
      <c r="D61" s="115"/>
      <c r="E61" s="115"/>
      <c r="F61" s="115"/>
      <c r="G61" s="113" t="str">
        <f>COUNTIF($B$2:B61,B61)&amp;" : "&amp;B61</f>
        <v xml:space="preserve">0 : </v>
      </c>
    </row>
    <row r="62" spans="1:7" x14ac:dyDescent="0.6">
      <c r="A62" s="116"/>
      <c r="B62" s="115"/>
      <c r="C62" s="115"/>
      <c r="D62" s="115"/>
      <c r="E62" s="115"/>
      <c r="F62" s="115"/>
      <c r="G62" s="113" t="str">
        <f>COUNTIF($B$2:B62,B62)&amp;" : "&amp;B62</f>
        <v xml:space="preserve">0 : </v>
      </c>
    </row>
    <row r="63" spans="1:7" x14ac:dyDescent="0.6">
      <c r="A63" s="116"/>
      <c r="B63" s="115"/>
      <c r="C63" s="115"/>
      <c r="D63" s="115"/>
      <c r="E63" s="115"/>
      <c r="F63" s="115"/>
      <c r="G63" s="113" t="str">
        <f>COUNTIF($B$2:B63,B63)&amp;" : "&amp;B63</f>
        <v xml:space="preserve">0 : </v>
      </c>
    </row>
    <row r="64" spans="1:7" x14ac:dyDescent="0.6">
      <c r="A64" s="116"/>
      <c r="B64" s="115"/>
      <c r="C64" s="115"/>
      <c r="D64" s="115"/>
      <c r="E64" s="115"/>
      <c r="F64" s="115"/>
      <c r="G64" s="113" t="str">
        <f>COUNTIF($B$2:B64,B64)&amp;" : "&amp;B64</f>
        <v xml:space="preserve">0 : </v>
      </c>
    </row>
    <row r="65" spans="1:7" x14ac:dyDescent="0.6">
      <c r="A65" s="116"/>
      <c r="B65" s="115"/>
      <c r="C65" s="115"/>
      <c r="D65" s="115"/>
      <c r="E65" s="115"/>
      <c r="F65" s="115"/>
      <c r="G65" s="113" t="str">
        <f>COUNTIF($B$2:B65,B65)&amp;" : "&amp;B65</f>
        <v xml:space="preserve">0 : </v>
      </c>
    </row>
    <row r="66" spans="1:7" x14ac:dyDescent="0.6">
      <c r="A66" s="116"/>
      <c r="B66" s="115"/>
      <c r="C66" s="115"/>
      <c r="D66" s="115"/>
      <c r="E66" s="115"/>
      <c r="F66" s="115"/>
      <c r="G66" s="113" t="str">
        <f>COUNTIF($B$2:B66,B66)&amp;" : "&amp;B66</f>
        <v xml:space="preserve">0 : </v>
      </c>
    </row>
    <row r="67" spans="1:7" x14ac:dyDescent="0.6">
      <c r="A67" s="116"/>
      <c r="B67" s="115"/>
      <c r="C67" s="115"/>
      <c r="D67" s="115"/>
      <c r="E67" s="115"/>
      <c r="F67" s="115"/>
      <c r="G67" s="113" t="str">
        <f>COUNTIF($B$2:B67,B67)&amp;" : "&amp;B67</f>
        <v xml:space="preserve">0 : </v>
      </c>
    </row>
    <row r="68" spans="1:7" x14ac:dyDescent="0.6">
      <c r="A68" s="116"/>
      <c r="B68" s="115"/>
      <c r="C68" s="115"/>
      <c r="D68" s="115"/>
      <c r="E68" s="115"/>
      <c r="F68" s="115"/>
      <c r="G68" s="113" t="str">
        <f>COUNTIF($B$2:B68,B68)&amp;" : "&amp;B68</f>
        <v xml:space="preserve">0 : </v>
      </c>
    </row>
    <row r="69" spans="1:7" x14ac:dyDescent="0.6">
      <c r="A69" s="116"/>
      <c r="B69" s="115"/>
      <c r="C69" s="115"/>
      <c r="D69" s="115"/>
      <c r="E69" s="115"/>
      <c r="F69" s="115"/>
      <c r="G69" s="113" t="str">
        <f>COUNTIF($B$2:B69,B69)&amp;" : "&amp;B69</f>
        <v xml:space="preserve">0 : </v>
      </c>
    </row>
    <row r="70" spans="1:7" x14ac:dyDescent="0.6">
      <c r="A70" s="116"/>
      <c r="B70" s="115"/>
      <c r="C70" s="115"/>
      <c r="D70" s="115"/>
      <c r="E70" s="115"/>
      <c r="F70" s="115"/>
      <c r="G70" s="113" t="str">
        <f>COUNTIF($B$2:B70,B70)&amp;" : "&amp;B70</f>
        <v xml:space="preserve">0 : </v>
      </c>
    </row>
    <row r="71" spans="1:7" x14ac:dyDescent="0.6">
      <c r="A71" s="116"/>
      <c r="B71" s="115"/>
      <c r="C71" s="115"/>
      <c r="D71" s="115"/>
      <c r="E71" s="115"/>
      <c r="F71" s="115"/>
      <c r="G71" s="113" t="str">
        <f>COUNTIF($B$2:B71,B71)&amp;" : "&amp;B71</f>
        <v xml:space="preserve">0 : </v>
      </c>
    </row>
    <row r="72" spans="1:7" x14ac:dyDescent="0.6">
      <c r="A72" s="116"/>
      <c r="B72" s="115"/>
      <c r="C72" s="115"/>
      <c r="D72" s="115"/>
      <c r="E72" s="115"/>
      <c r="F72" s="115"/>
      <c r="G72" s="113" t="str">
        <f>COUNTIF($B$2:B72,B72)&amp;" : "&amp;B72</f>
        <v xml:space="preserve">0 : </v>
      </c>
    </row>
    <row r="73" spans="1:7" x14ac:dyDescent="0.6">
      <c r="A73" s="116"/>
      <c r="B73" s="115"/>
      <c r="C73" s="115"/>
      <c r="D73" s="115"/>
      <c r="E73" s="115"/>
      <c r="F73" s="115"/>
      <c r="G73" s="113" t="str">
        <f>COUNTIF($B$2:B73,B73)&amp;" : "&amp;B73</f>
        <v xml:space="preserve">0 : </v>
      </c>
    </row>
    <row r="74" spans="1:7" x14ac:dyDescent="0.6">
      <c r="A74" s="116"/>
      <c r="B74" s="115"/>
      <c r="C74" s="115"/>
      <c r="D74" s="115"/>
      <c r="E74" s="115"/>
      <c r="F74" s="115"/>
      <c r="G74" s="113" t="str">
        <f>COUNTIF($B$2:B74,B74)&amp;" : "&amp;B74</f>
        <v xml:space="preserve">0 : </v>
      </c>
    </row>
    <row r="75" spans="1:7" x14ac:dyDescent="0.6">
      <c r="A75" s="116"/>
      <c r="B75" s="115"/>
      <c r="C75" s="115"/>
      <c r="D75" s="115"/>
      <c r="E75" s="115"/>
      <c r="F75" s="115"/>
      <c r="G75" s="113" t="str">
        <f>COUNTIF($B$2:B75,B75)&amp;" : "&amp;B75</f>
        <v xml:space="preserve">0 : </v>
      </c>
    </row>
    <row r="76" spans="1:7" x14ac:dyDescent="0.6">
      <c r="A76" s="116"/>
      <c r="B76" s="115"/>
      <c r="C76" s="115"/>
      <c r="D76" s="115"/>
      <c r="E76" s="115"/>
      <c r="F76" s="115"/>
      <c r="G76" s="113" t="str">
        <f>COUNTIF($B$2:B76,B76)&amp;" : "&amp;B76</f>
        <v xml:space="preserve">0 : </v>
      </c>
    </row>
    <row r="77" spans="1:7" x14ac:dyDescent="0.6">
      <c r="A77" s="116"/>
      <c r="B77" s="115"/>
      <c r="C77" s="115"/>
      <c r="D77" s="115"/>
      <c r="E77" s="115"/>
      <c r="F77" s="115"/>
      <c r="G77" s="113" t="str">
        <f>COUNTIF($B$2:B77,B77)&amp;" : "&amp;B77</f>
        <v xml:space="preserve">0 : </v>
      </c>
    </row>
    <row r="78" spans="1:7" x14ac:dyDescent="0.6">
      <c r="A78" s="116"/>
      <c r="B78" s="115"/>
      <c r="C78" s="115"/>
      <c r="D78" s="115"/>
      <c r="E78" s="115"/>
      <c r="F78" s="115"/>
      <c r="G78" s="113" t="str">
        <f>COUNTIF($B$2:B78,B78)&amp;" : "&amp;B78</f>
        <v xml:space="preserve">0 : </v>
      </c>
    </row>
    <row r="79" spans="1:7" x14ac:dyDescent="0.6">
      <c r="A79" s="116"/>
      <c r="B79" s="115"/>
      <c r="C79" s="115"/>
      <c r="D79" s="115"/>
      <c r="E79" s="115"/>
      <c r="F79" s="115"/>
      <c r="G79" s="113" t="str">
        <f>COUNTIF($B$2:B79,B79)&amp;" : "&amp;B79</f>
        <v xml:space="preserve">0 : </v>
      </c>
    </row>
    <row r="80" spans="1:7" x14ac:dyDescent="0.6">
      <c r="A80" s="116"/>
      <c r="B80" s="115"/>
      <c r="C80" s="115"/>
      <c r="D80" s="115"/>
      <c r="E80" s="115"/>
      <c r="F80" s="115"/>
      <c r="G80" s="113" t="str">
        <f>COUNTIF($B$2:B80,B80)&amp;" : "&amp;B80</f>
        <v xml:space="preserve">0 : </v>
      </c>
    </row>
    <row r="81" spans="1:7" x14ac:dyDescent="0.6">
      <c r="A81" s="116"/>
      <c r="B81" s="115"/>
      <c r="C81" s="115"/>
      <c r="D81" s="115"/>
      <c r="E81" s="115"/>
      <c r="F81" s="115"/>
      <c r="G81" s="113" t="str">
        <f>COUNTIF($B$2:B81,B81)&amp;" : "&amp;B81</f>
        <v xml:space="preserve">0 : </v>
      </c>
    </row>
    <row r="82" spans="1:7" x14ac:dyDescent="0.6">
      <c r="A82" s="116"/>
      <c r="B82" s="115"/>
      <c r="C82" s="115"/>
      <c r="D82" s="115"/>
      <c r="E82" s="115"/>
      <c r="F82" s="115"/>
      <c r="G82" s="113" t="str">
        <f>COUNTIF($B$2:B82,B82)&amp;" : "&amp;B82</f>
        <v xml:space="preserve">0 : </v>
      </c>
    </row>
    <row r="83" spans="1:7" x14ac:dyDescent="0.6">
      <c r="A83" s="116"/>
      <c r="B83" s="115"/>
      <c r="C83" s="115"/>
      <c r="D83" s="115"/>
      <c r="E83" s="115"/>
      <c r="F83" s="115"/>
      <c r="G83" s="113" t="str">
        <f>COUNTIF($B$2:B83,B83)&amp;" : "&amp;B83</f>
        <v xml:space="preserve">0 : </v>
      </c>
    </row>
    <row r="84" spans="1:7" x14ac:dyDescent="0.6">
      <c r="A84" s="116"/>
      <c r="B84" s="115"/>
      <c r="C84" s="115"/>
      <c r="D84" s="115"/>
      <c r="E84" s="115"/>
      <c r="F84" s="115"/>
      <c r="G84" s="113" t="str">
        <f>COUNTIF($B$2:B84,B84)&amp;" : "&amp;B84</f>
        <v xml:space="preserve">0 : </v>
      </c>
    </row>
    <row r="85" spans="1:7" x14ac:dyDescent="0.6">
      <c r="A85" s="116"/>
      <c r="B85" s="115"/>
      <c r="C85" s="115"/>
      <c r="D85" s="115"/>
      <c r="E85" s="115"/>
      <c r="F85" s="115"/>
      <c r="G85" s="113" t="str">
        <f>COUNTIF($B$2:B85,B85)&amp;" : "&amp;B85</f>
        <v xml:space="preserve">0 : </v>
      </c>
    </row>
    <row r="86" spans="1:7" x14ac:dyDescent="0.6">
      <c r="A86" s="116"/>
      <c r="B86" s="115"/>
      <c r="C86" s="115"/>
      <c r="D86" s="115"/>
      <c r="E86" s="115"/>
      <c r="F86" s="115"/>
      <c r="G86" s="113" t="str">
        <f>COUNTIF($B$2:B86,B86)&amp;" : "&amp;B86</f>
        <v xml:space="preserve">0 : </v>
      </c>
    </row>
    <row r="87" spans="1:7" x14ac:dyDescent="0.6">
      <c r="A87" s="116"/>
      <c r="B87" s="115"/>
      <c r="C87" s="115"/>
      <c r="D87" s="115"/>
      <c r="E87" s="115"/>
      <c r="F87" s="115"/>
      <c r="G87" s="113" t="str">
        <f>COUNTIF($B$2:B87,B87)&amp;" : "&amp;B87</f>
        <v xml:space="preserve">0 : </v>
      </c>
    </row>
    <row r="88" spans="1:7" x14ac:dyDescent="0.6">
      <c r="A88" s="116"/>
      <c r="B88" s="115"/>
      <c r="C88" s="115"/>
      <c r="D88" s="115"/>
      <c r="E88" s="115"/>
      <c r="F88" s="115"/>
      <c r="G88" s="113" t="str">
        <f>COUNTIF($B$2:B88,B88)&amp;" : "&amp;B88</f>
        <v xml:space="preserve">0 : </v>
      </c>
    </row>
    <row r="89" spans="1:7" x14ac:dyDescent="0.6">
      <c r="A89" s="116"/>
      <c r="B89" s="115"/>
      <c r="C89" s="115"/>
      <c r="D89" s="115"/>
      <c r="E89" s="115"/>
      <c r="F89" s="115"/>
      <c r="G89" s="113" t="str">
        <f>COUNTIF($B$2:B89,B89)&amp;" : "&amp;B89</f>
        <v xml:space="preserve">0 : </v>
      </c>
    </row>
    <row r="90" spans="1:7" x14ac:dyDescent="0.6">
      <c r="A90" s="116"/>
      <c r="B90" s="115"/>
      <c r="C90" s="115"/>
      <c r="D90" s="115"/>
      <c r="E90" s="115"/>
      <c r="F90" s="115"/>
      <c r="G90" s="113" t="str">
        <f>COUNTIF($B$2:B90,B90)&amp;" : "&amp;B90</f>
        <v xml:space="preserve">0 : </v>
      </c>
    </row>
    <row r="91" spans="1:7" x14ac:dyDescent="0.6">
      <c r="A91" s="116"/>
      <c r="B91" s="115"/>
      <c r="C91" s="115"/>
      <c r="D91" s="115"/>
      <c r="E91" s="115"/>
      <c r="F91" s="115"/>
      <c r="G91" s="113" t="str">
        <f>COUNTIF($B$2:B91,B91)&amp;" : "&amp;B91</f>
        <v xml:space="preserve">0 : </v>
      </c>
    </row>
    <row r="92" spans="1:7" x14ac:dyDescent="0.6">
      <c r="A92" s="116"/>
      <c r="B92" s="115"/>
      <c r="C92" s="115"/>
      <c r="D92" s="115"/>
      <c r="E92" s="115"/>
      <c r="F92" s="115"/>
      <c r="G92" s="113" t="str">
        <f>COUNTIF($B$2:B92,B92)&amp;" : "&amp;B92</f>
        <v xml:space="preserve">0 : </v>
      </c>
    </row>
    <row r="93" spans="1:7" x14ac:dyDescent="0.6">
      <c r="A93" s="116"/>
      <c r="B93" s="115"/>
      <c r="C93" s="115"/>
      <c r="D93" s="115"/>
      <c r="E93" s="115"/>
      <c r="F93" s="115"/>
      <c r="G93" s="113" t="str">
        <f>COUNTIF($B$2:B93,B93)&amp;" : "&amp;B93</f>
        <v xml:space="preserve">0 : </v>
      </c>
    </row>
    <row r="94" spans="1:7" x14ac:dyDescent="0.6">
      <c r="A94" s="116"/>
      <c r="B94" s="115"/>
      <c r="C94" s="115"/>
      <c r="D94" s="115"/>
      <c r="E94" s="115"/>
      <c r="F94" s="115"/>
      <c r="G94" s="113" t="str">
        <f>COUNTIF($B$2:B94,B94)&amp;" : "&amp;B94</f>
        <v xml:space="preserve">0 : </v>
      </c>
    </row>
    <row r="95" spans="1:7" x14ac:dyDescent="0.6">
      <c r="A95" s="116"/>
      <c r="B95" s="115"/>
      <c r="C95" s="115"/>
      <c r="D95" s="115"/>
      <c r="E95" s="115"/>
      <c r="F95" s="115"/>
      <c r="G95" s="113" t="str">
        <f>COUNTIF($B$2:B95,B95)&amp;" : "&amp;B95</f>
        <v xml:space="preserve">0 : </v>
      </c>
    </row>
    <row r="96" spans="1:7" x14ac:dyDescent="0.6">
      <c r="A96" s="116"/>
      <c r="B96" s="115"/>
      <c r="C96" s="115"/>
      <c r="D96" s="115"/>
      <c r="E96" s="115"/>
      <c r="F96" s="115"/>
      <c r="G96" s="113" t="str">
        <f>COUNTIF($B$2:B96,B96)&amp;" : "&amp;B96</f>
        <v xml:space="preserve">0 : </v>
      </c>
    </row>
    <row r="97" spans="1:7" x14ac:dyDescent="0.6">
      <c r="A97" s="116"/>
      <c r="B97" s="115"/>
      <c r="C97" s="115"/>
      <c r="D97" s="115"/>
      <c r="E97" s="115"/>
      <c r="F97" s="115"/>
      <c r="G97" s="113" t="str">
        <f>COUNTIF($B$2:B97,B97)&amp;" : "&amp;B97</f>
        <v xml:space="preserve">0 : </v>
      </c>
    </row>
    <row r="98" spans="1:7" x14ac:dyDescent="0.6">
      <c r="A98" s="116"/>
      <c r="B98" s="115"/>
      <c r="C98" s="115"/>
      <c r="D98" s="115"/>
      <c r="E98" s="115"/>
      <c r="F98" s="115"/>
      <c r="G98" s="113" t="str">
        <f>COUNTIF($B$2:B98,B98)&amp;" : "&amp;B98</f>
        <v xml:space="preserve">0 : </v>
      </c>
    </row>
    <row r="99" spans="1:7" x14ac:dyDescent="0.6">
      <c r="A99" s="116"/>
      <c r="B99" s="115"/>
      <c r="C99" s="115"/>
      <c r="D99" s="115"/>
      <c r="E99" s="115"/>
      <c r="F99" s="115"/>
      <c r="G99" s="113" t="str">
        <f>COUNTIF($B$2:B99,B99)&amp;" : "&amp;B99</f>
        <v xml:space="preserve">0 : </v>
      </c>
    </row>
    <row r="100" spans="1:7" x14ac:dyDescent="0.6">
      <c r="A100" s="116"/>
      <c r="B100" s="115"/>
      <c r="C100" s="115"/>
      <c r="D100" s="115"/>
      <c r="E100" s="115"/>
      <c r="F100" s="115"/>
      <c r="G100" s="113" t="str">
        <f>COUNTIF($B$2:B100,B100)&amp;" : "&amp;B100</f>
        <v xml:space="preserve">0 : </v>
      </c>
    </row>
    <row r="101" spans="1:7" x14ac:dyDescent="0.6">
      <c r="A101" s="116"/>
      <c r="B101" s="115"/>
      <c r="C101" s="115"/>
      <c r="D101" s="115"/>
      <c r="E101" s="115"/>
      <c r="F101" s="115"/>
      <c r="G101" s="113" t="str">
        <f>COUNTIF($B$2:B101,B101)&amp;" : "&amp;B101</f>
        <v xml:space="preserve">0 : </v>
      </c>
    </row>
    <row r="102" spans="1:7" x14ac:dyDescent="0.6">
      <c r="A102" s="116"/>
      <c r="B102" s="115"/>
      <c r="C102" s="115"/>
      <c r="D102" s="115"/>
      <c r="E102" s="115"/>
      <c r="F102" s="115"/>
      <c r="G102" s="113" t="str">
        <f>COUNTIF($B$2:B102,B102)&amp;" : "&amp;B102</f>
        <v xml:space="preserve">0 : </v>
      </c>
    </row>
    <row r="103" spans="1:7" x14ac:dyDescent="0.6">
      <c r="A103" s="116"/>
      <c r="B103" s="115"/>
      <c r="C103" s="115"/>
      <c r="D103" s="115"/>
      <c r="E103" s="115"/>
      <c r="F103" s="115"/>
      <c r="G103" s="113" t="str">
        <f>COUNTIF($B$2:B103,B103)&amp;" : "&amp;B103</f>
        <v xml:space="preserve">0 : </v>
      </c>
    </row>
    <row r="104" spans="1:7" x14ac:dyDescent="0.6">
      <c r="A104" s="116"/>
      <c r="B104" s="115"/>
      <c r="C104" s="115"/>
      <c r="D104" s="115"/>
      <c r="E104" s="115"/>
      <c r="F104" s="115"/>
      <c r="G104" s="113" t="str">
        <f>COUNTIF($B$2:B104,B104)&amp;" : "&amp;B104</f>
        <v xml:space="preserve">0 : </v>
      </c>
    </row>
    <row r="105" spans="1:7" x14ac:dyDescent="0.6">
      <c r="A105" s="116"/>
      <c r="B105" s="115"/>
      <c r="C105" s="115"/>
      <c r="D105" s="115"/>
      <c r="E105" s="115"/>
      <c r="F105" s="115"/>
      <c r="G105" s="113" t="str">
        <f>COUNTIF($B$2:B105,B105)&amp;" : "&amp;B105</f>
        <v xml:space="preserve">0 : </v>
      </c>
    </row>
    <row r="106" spans="1:7" x14ac:dyDescent="0.6">
      <c r="A106" s="116"/>
      <c r="B106" s="115"/>
      <c r="C106" s="115"/>
      <c r="D106" s="115"/>
      <c r="E106" s="115"/>
      <c r="F106" s="115"/>
      <c r="G106" s="113" t="str">
        <f>COUNTIF($B$2:B106,B106)&amp;" : "&amp;B106</f>
        <v xml:space="preserve">0 : </v>
      </c>
    </row>
    <row r="107" spans="1:7" x14ac:dyDescent="0.6">
      <c r="A107" s="116"/>
      <c r="B107" s="115"/>
      <c r="C107" s="115"/>
      <c r="D107" s="115"/>
      <c r="E107" s="115"/>
      <c r="F107" s="115"/>
      <c r="G107" s="113" t="str">
        <f>COUNTIF($B$2:B107,B107)&amp;" : "&amp;B107</f>
        <v xml:space="preserve">0 : </v>
      </c>
    </row>
    <row r="108" spans="1:7" x14ac:dyDescent="0.6">
      <c r="A108" s="116"/>
      <c r="B108" s="115"/>
      <c r="C108" s="115"/>
      <c r="D108" s="115"/>
      <c r="E108" s="115"/>
      <c r="F108" s="115"/>
      <c r="G108" s="113" t="str">
        <f>COUNTIF($B$2:B108,B108)&amp;" : "&amp;B108</f>
        <v xml:space="preserve">0 : </v>
      </c>
    </row>
    <row r="109" spans="1:7" x14ac:dyDescent="0.6">
      <c r="A109" s="116"/>
      <c r="B109" s="115"/>
      <c r="C109" s="115"/>
      <c r="D109" s="115"/>
      <c r="E109" s="115"/>
      <c r="F109" s="115"/>
      <c r="G109" s="113" t="str">
        <f>COUNTIF($B$2:B109,B109)&amp;" : "&amp;B109</f>
        <v xml:space="preserve">0 : </v>
      </c>
    </row>
    <row r="110" spans="1:7" x14ac:dyDescent="0.6">
      <c r="A110" s="116"/>
      <c r="B110" s="115"/>
      <c r="C110" s="115"/>
      <c r="D110" s="115"/>
      <c r="E110" s="115"/>
      <c r="F110" s="115"/>
      <c r="G110" s="113" t="str">
        <f>COUNTIF($B$2:B110,B110)&amp;" : "&amp;B110</f>
        <v xml:space="preserve">0 : </v>
      </c>
    </row>
    <row r="111" spans="1:7" x14ac:dyDescent="0.6">
      <c r="A111" s="116"/>
      <c r="B111" s="115"/>
      <c r="C111" s="115"/>
      <c r="D111" s="115"/>
      <c r="E111" s="115"/>
      <c r="F111" s="115"/>
      <c r="G111" s="113" t="str">
        <f>COUNTIF($B$2:B111,B111)&amp;" : "&amp;B111</f>
        <v xml:space="preserve">0 : </v>
      </c>
    </row>
    <row r="112" spans="1:7" x14ac:dyDescent="0.6">
      <c r="A112" s="116"/>
      <c r="B112" s="115"/>
      <c r="C112" s="115"/>
      <c r="D112" s="115"/>
      <c r="E112" s="115"/>
      <c r="F112" s="115"/>
      <c r="G112" s="113" t="str">
        <f>COUNTIF($B$2:B112,B112)&amp;" : "&amp;B112</f>
        <v xml:space="preserve">0 : </v>
      </c>
    </row>
    <row r="113" spans="1:7" x14ac:dyDescent="0.6">
      <c r="A113" s="116"/>
      <c r="B113" s="115"/>
      <c r="C113" s="115"/>
      <c r="D113" s="115"/>
      <c r="E113" s="115"/>
      <c r="F113" s="115"/>
      <c r="G113" s="113" t="str">
        <f>COUNTIF($B$2:B113,B113)&amp;" : "&amp;B113</f>
        <v xml:space="preserve">0 : </v>
      </c>
    </row>
    <row r="114" spans="1:7" x14ac:dyDescent="0.6">
      <c r="A114" s="116"/>
      <c r="B114" s="115"/>
      <c r="C114" s="115"/>
      <c r="D114" s="115"/>
      <c r="E114" s="115"/>
      <c r="F114" s="115"/>
      <c r="G114" s="113" t="str">
        <f>COUNTIF($B$2:B114,B114)&amp;" : "&amp;B114</f>
        <v xml:space="preserve">0 : </v>
      </c>
    </row>
    <row r="115" spans="1:7" x14ac:dyDescent="0.6">
      <c r="A115" s="116"/>
      <c r="B115" s="115"/>
      <c r="C115" s="115"/>
      <c r="D115" s="115"/>
      <c r="E115" s="115"/>
      <c r="F115" s="115"/>
      <c r="G115" s="113" t="str">
        <f>COUNTIF($B$2:B115,B115)&amp;" : "&amp;B115</f>
        <v xml:space="preserve">0 : </v>
      </c>
    </row>
    <row r="116" spans="1:7" x14ac:dyDescent="0.6">
      <c r="A116" s="116"/>
      <c r="B116" s="115"/>
      <c r="C116" s="115"/>
      <c r="D116" s="115"/>
      <c r="E116" s="115"/>
      <c r="F116" s="115"/>
      <c r="G116" s="113" t="str">
        <f>COUNTIF($B$2:B116,B116)&amp;" : "&amp;B116</f>
        <v xml:space="preserve">0 : </v>
      </c>
    </row>
    <row r="117" spans="1:7" x14ac:dyDescent="0.6">
      <c r="A117" s="116"/>
      <c r="B117" s="115"/>
      <c r="C117" s="115"/>
      <c r="D117" s="115"/>
      <c r="E117" s="115"/>
      <c r="F117" s="115"/>
      <c r="G117" s="113" t="str">
        <f>COUNTIF($B$2:B117,B117)&amp;" : "&amp;B117</f>
        <v xml:space="preserve">0 : </v>
      </c>
    </row>
    <row r="118" spans="1:7" x14ac:dyDescent="0.6">
      <c r="A118" s="116"/>
      <c r="B118" s="115"/>
      <c r="C118" s="115"/>
      <c r="D118" s="115"/>
      <c r="E118" s="115"/>
      <c r="F118" s="115"/>
      <c r="G118" s="113" t="str">
        <f>COUNTIF($B$2:B118,B118)&amp;" : "&amp;B118</f>
        <v xml:space="preserve">0 : </v>
      </c>
    </row>
    <row r="119" spans="1:7" x14ac:dyDescent="0.6">
      <c r="A119" s="116"/>
      <c r="B119" s="115"/>
      <c r="C119" s="115"/>
      <c r="D119" s="115"/>
      <c r="E119" s="115"/>
      <c r="F119" s="115"/>
      <c r="G119" s="113" t="str">
        <f>COUNTIF($B$2:B119,B119)&amp;" : "&amp;B119</f>
        <v xml:space="preserve">0 : </v>
      </c>
    </row>
    <row r="120" spans="1:7" x14ac:dyDescent="0.6">
      <c r="A120" s="116"/>
      <c r="B120" s="115"/>
      <c r="C120" s="115"/>
      <c r="D120" s="115"/>
      <c r="E120" s="115"/>
      <c r="F120" s="115"/>
      <c r="G120" s="113" t="str">
        <f>COUNTIF($B$2:B120,B120)&amp;" : "&amp;B120</f>
        <v xml:space="preserve">0 : </v>
      </c>
    </row>
    <row r="121" spans="1:7" x14ac:dyDescent="0.6">
      <c r="A121" s="116"/>
      <c r="B121" s="115"/>
      <c r="C121" s="115"/>
      <c r="D121" s="115"/>
      <c r="E121" s="115"/>
      <c r="F121" s="115"/>
      <c r="G121" s="113" t="str">
        <f>COUNTIF($B$2:B121,B121)&amp;" : "&amp;B121</f>
        <v xml:space="preserve">0 : </v>
      </c>
    </row>
    <row r="122" spans="1:7" x14ac:dyDescent="0.6">
      <c r="A122" s="116"/>
      <c r="B122" s="115"/>
      <c r="C122" s="115"/>
      <c r="D122" s="115"/>
      <c r="E122" s="115"/>
      <c r="F122" s="115"/>
      <c r="G122" s="113" t="str">
        <f>COUNTIF($B$2:B122,B122)&amp;" : "&amp;B122</f>
        <v xml:space="preserve">0 : </v>
      </c>
    </row>
    <row r="123" spans="1:7" x14ac:dyDescent="0.6">
      <c r="A123" s="116"/>
      <c r="B123" s="115"/>
      <c r="C123" s="115"/>
      <c r="D123" s="115"/>
      <c r="E123" s="115"/>
      <c r="F123" s="115"/>
      <c r="G123" s="113" t="str">
        <f>COUNTIF($B$2:B123,B123)&amp;" : "&amp;B123</f>
        <v xml:space="preserve">0 : </v>
      </c>
    </row>
    <row r="124" spans="1:7" x14ac:dyDescent="0.6">
      <c r="A124" s="116"/>
      <c r="B124" s="115"/>
      <c r="C124" s="115"/>
      <c r="D124" s="115"/>
      <c r="E124" s="115"/>
      <c r="F124" s="115"/>
      <c r="G124" s="113" t="str">
        <f>COUNTIF($B$2:B124,B124)&amp;" : "&amp;B124</f>
        <v xml:space="preserve">0 : </v>
      </c>
    </row>
    <row r="125" spans="1:7" x14ac:dyDescent="0.6">
      <c r="A125" s="116"/>
      <c r="B125" s="115"/>
      <c r="C125" s="115"/>
      <c r="D125" s="115"/>
      <c r="E125" s="115"/>
      <c r="F125" s="115"/>
      <c r="G125" s="113" t="str">
        <f>COUNTIF($B$2:B125,B125)&amp;" : "&amp;B125</f>
        <v xml:space="preserve">0 : </v>
      </c>
    </row>
    <row r="126" spans="1:7" x14ac:dyDescent="0.6">
      <c r="A126" s="116"/>
      <c r="B126" s="115"/>
      <c r="C126" s="115"/>
      <c r="D126" s="115"/>
      <c r="E126" s="115"/>
      <c r="F126" s="115"/>
      <c r="G126" s="113" t="str">
        <f>COUNTIF($B$2:B126,B126)&amp;" : "&amp;B126</f>
        <v xml:space="preserve">0 : </v>
      </c>
    </row>
    <row r="127" spans="1:7" x14ac:dyDescent="0.6">
      <c r="A127" s="116"/>
      <c r="B127" s="115"/>
      <c r="C127" s="115"/>
      <c r="D127" s="115"/>
      <c r="E127" s="115"/>
      <c r="F127" s="115"/>
      <c r="G127" s="113" t="str">
        <f>COUNTIF($B$2:B127,B127)&amp;" : "&amp;B127</f>
        <v xml:space="preserve">0 : </v>
      </c>
    </row>
    <row r="128" spans="1:7" x14ac:dyDescent="0.6">
      <c r="A128" s="116"/>
      <c r="B128" s="115"/>
      <c r="C128" s="115"/>
      <c r="D128" s="115"/>
      <c r="E128" s="115"/>
      <c r="F128" s="115"/>
      <c r="G128" s="113" t="str">
        <f>COUNTIF($B$2:B128,B128)&amp;" : "&amp;B128</f>
        <v xml:space="preserve">0 : </v>
      </c>
    </row>
    <row r="129" spans="1:7" x14ac:dyDescent="0.6">
      <c r="A129" s="116"/>
      <c r="B129" s="115"/>
      <c r="C129" s="115"/>
      <c r="D129" s="115"/>
      <c r="E129" s="115"/>
      <c r="F129" s="115"/>
      <c r="G129" s="113" t="str">
        <f>COUNTIF($B$2:B129,B129)&amp;" : "&amp;B129</f>
        <v xml:space="preserve">0 : </v>
      </c>
    </row>
    <row r="130" spans="1:7" x14ac:dyDescent="0.6">
      <c r="A130" s="116"/>
      <c r="B130" s="115"/>
      <c r="C130" s="115"/>
      <c r="D130" s="115"/>
      <c r="E130" s="115"/>
      <c r="F130" s="115"/>
      <c r="G130" s="113" t="str">
        <f>COUNTIF($B$2:B130,B130)&amp;" : "&amp;B130</f>
        <v xml:space="preserve">0 : </v>
      </c>
    </row>
    <row r="131" spans="1:7" x14ac:dyDescent="0.6">
      <c r="A131" s="116"/>
      <c r="B131" s="115"/>
      <c r="C131" s="115"/>
      <c r="D131" s="115"/>
      <c r="E131" s="115"/>
      <c r="F131" s="115"/>
      <c r="G131" s="113" t="str">
        <f>COUNTIF($B$2:B131,B131)&amp;" : "&amp;B131</f>
        <v xml:space="preserve">0 : </v>
      </c>
    </row>
    <row r="132" spans="1:7" x14ac:dyDescent="0.6">
      <c r="A132" s="116"/>
      <c r="B132" s="115"/>
      <c r="C132" s="115"/>
      <c r="D132" s="115"/>
      <c r="E132" s="115"/>
      <c r="F132" s="115"/>
      <c r="G132" s="113" t="str">
        <f>COUNTIF($B$2:B132,B132)&amp;" : "&amp;B132</f>
        <v xml:space="preserve">0 : </v>
      </c>
    </row>
    <row r="133" spans="1:7" x14ac:dyDescent="0.6">
      <c r="A133" s="116"/>
      <c r="B133" s="115"/>
      <c r="C133" s="115"/>
      <c r="D133" s="115"/>
      <c r="E133" s="115"/>
      <c r="F133" s="115"/>
      <c r="G133" s="113" t="str">
        <f>COUNTIF($B$2:B133,B133)&amp;" : "&amp;B133</f>
        <v xml:space="preserve">0 : </v>
      </c>
    </row>
    <row r="134" spans="1:7" x14ac:dyDescent="0.6">
      <c r="A134" s="116"/>
      <c r="B134" s="115"/>
      <c r="C134" s="115"/>
      <c r="D134" s="115"/>
      <c r="E134" s="115"/>
      <c r="F134" s="115"/>
      <c r="G134" s="113" t="str">
        <f>COUNTIF($B$2:B134,B134)&amp;" : "&amp;B134</f>
        <v xml:space="preserve">0 : </v>
      </c>
    </row>
    <row r="135" spans="1:7" x14ac:dyDescent="0.6">
      <c r="A135" s="116"/>
      <c r="B135" s="115"/>
      <c r="C135" s="115"/>
      <c r="D135" s="115"/>
      <c r="E135" s="115"/>
      <c r="F135" s="115"/>
      <c r="G135" s="113" t="str">
        <f>COUNTIF($B$2:B135,B135)&amp;" : "&amp;B135</f>
        <v xml:space="preserve">0 : </v>
      </c>
    </row>
    <row r="136" spans="1:7" x14ac:dyDescent="0.6">
      <c r="A136" s="116"/>
      <c r="B136" s="115"/>
      <c r="C136" s="115"/>
      <c r="D136" s="115"/>
      <c r="E136" s="115"/>
      <c r="F136" s="115"/>
      <c r="G136" s="113" t="str">
        <f>COUNTIF($B$2:B136,B136)&amp;" : "&amp;B136</f>
        <v xml:space="preserve">0 : </v>
      </c>
    </row>
    <row r="137" spans="1:7" x14ac:dyDescent="0.6">
      <c r="A137" s="116"/>
      <c r="B137" s="115"/>
      <c r="C137" s="115"/>
      <c r="D137" s="115"/>
      <c r="E137" s="115"/>
      <c r="F137" s="115"/>
      <c r="G137" s="113" t="str">
        <f>COUNTIF($B$2:B137,B137)&amp;" : "&amp;B137</f>
        <v xml:space="preserve">0 : </v>
      </c>
    </row>
    <row r="138" spans="1:7" x14ac:dyDescent="0.6">
      <c r="A138" s="116"/>
      <c r="B138" s="115"/>
      <c r="C138" s="115"/>
      <c r="D138" s="115"/>
      <c r="E138" s="115"/>
      <c r="F138" s="115"/>
      <c r="G138" s="113" t="str">
        <f>COUNTIF($B$2:B138,B138)&amp;" : "&amp;B138</f>
        <v xml:space="preserve">0 : </v>
      </c>
    </row>
    <row r="139" spans="1:7" x14ac:dyDescent="0.6">
      <c r="A139" s="116"/>
      <c r="B139" s="115"/>
      <c r="C139" s="115"/>
      <c r="D139" s="115"/>
      <c r="E139" s="115"/>
      <c r="F139" s="115"/>
      <c r="G139" s="113" t="str">
        <f>COUNTIF($B$2:B139,B139)&amp;" : "&amp;B139</f>
        <v xml:space="preserve">0 : </v>
      </c>
    </row>
    <row r="140" spans="1:7" x14ac:dyDescent="0.6">
      <c r="A140" s="116"/>
      <c r="B140" s="115"/>
      <c r="C140" s="115"/>
      <c r="D140" s="115"/>
      <c r="E140" s="115"/>
      <c r="F140" s="115"/>
      <c r="G140" s="113" t="str">
        <f>COUNTIF($B$2:B140,B140)&amp;" : "&amp;B140</f>
        <v xml:space="preserve">0 : </v>
      </c>
    </row>
    <row r="141" spans="1:7" x14ac:dyDescent="0.6">
      <c r="A141" s="116"/>
      <c r="B141" s="115"/>
      <c r="C141" s="115"/>
      <c r="D141" s="115"/>
      <c r="E141" s="115"/>
      <c r="F141" s="115"/>
      <c r="G141" s="113" t="str">
        <f>COUNTIF($B$2:B141,B141)&amp;" : "&amp;B141</f>
        <v xml:space="preserve">0 : </v>
      </c>
    </row>
    <row r="142" spans="1:7" x14ac:dyDescent="0.6">
      <c r="A142" s="116"/>
      <c r="B142" s="115"/>
      <c r="C142" s="115"/>
      <c r="D142" s="115"/>
      <c r="E142" s="115"/>
      <c r="F142" s="115"/>
      <c r="G142" s="113" t="str">
        <f>COUNTIF($B$2:B142,B142)&amp;" : "&amp;B142</f>
        <v xml:space="preserve">0 : </v>
      </c>
    </row>
    <row r="143" spans="1:7" x14ac:dyDescent="0.6">
      <c r="A143" s="116"/>
      <c r="B143" s="115"/>
      <c r="C143" s="115"/>
      <c r="D143" s="115"/>
      <c r="E143" s="115"/>
      <c r="F143" s="115"/>
      <c r="G143" s="113" t="str">
        <f>COUNTIF($B$2:B143,B143)&amp;" : "&amp;B143</f>
        <v xml:space="preserve">0 : </v>
      </c>
    </row>
    <row r="144" spans="1:7" x14ac:dyDescent="0.6">
      <c r="A144" s="116"/>
      <c r="B144" s="115"/>
      <c r="C144" s="115"/>
      <c r="D144" s="115"/>
      <c r="E144" s="115"/>
      <c r="F144" s="115"/>
      <c r="G144" s="113" t="str">
        <f>COUNTIF($B$2:B144,B144)&amp;" : "&amp;B144</f>
        <v xml:space="preserve">0 : </v>
      </c>
    </row>
    <row r="145" spans="1:7" x14ac:dyDescent="0.6">
      <c r="A145" s="116"/>
      <c r="B145" s="115"/>
      <c r="C145" s="115"/>
      <c r="D145" s="115"/>
      <c r="E145" s="115"/>
      <c r="F145" s="115"/>
      <c r="G145" s="113" t="str">
        <f>COUNTIF($B$2:B145,B145)&amp;" : "&amp;B145</f>
        <v xml:space="preserve">0 : </v>
      </c>
    </row>
    <row r="146" spans="1:7" x14ac:dyDescent="0.6">
      <c r="A146" s="116"/>
      <c r="B146" s="115"/>
      <c r="C146" s="115"/>
      <c r="D146" s="115"/>
      <c r="E146" s="115"/>
      <c r="F146" s="115"/>
      <c r="G146" s="113" t="str">
        <f>COUNTIF($B$2:B146,B146)&amp;" : "&amp;B146</f>
        <v xml:space="preserve">0 : </v>
      </c>
    </row>
    <row r="147" spans="1:7" x14ac:dyDescent="0.6">
      <c r="A147" s="116"/>
      <c r="B147" s="115"/>
      <c r="C147" s="115"/>
      <c r="D147" s="115"/>
      <c r="E147" s="115"/>
      <c r="F147" s="115"/>
      <c r="G147" s="113" t="str">
        <f>COUNTIF($B$2:B147,B147)&amp;" : "&amp;B147</f>
        <v xml:space="preserve">0 : </v>
      </c>
    </row>
    <row r="148" spans="1:7" x14ac:dyDescent="0.6">
      <c r="A148" s="116"/>
      <c r="B148" s="115"/>
      <c r="C148" s="115"/>
      <c r="D148" s="115"/>
      <c r="E148" s="115"/>
      <c r="F148" s="115"/>
      <c r="G148" s="113" t="str">
        <f>COUNTIF($B$2:B148,B148)&amp;" : "&amp;B148</f>
        <v xml:space="preserve">0 : </v>
      </c>
    </row>
    <row r="149" spans="1:7" x14ac:dyDescent="0.6">
      <c r="A149" s="116"/>
      <c r="B149" s="115"/>
      <c r="C149" s="115"/>
      <c r="D149" s="115"/>
      <c r="E149" s="115"/>
      <c r="F149" s="115"/>
      <c r="G149" s="113" t="str">
        <f>COUNTIF($B$2:B149,B149)&amp;" : "&amp;B149</f>
        <v xml:space="preserve">0 : </v>
      </c>
    </row>
    <row r="150" spans="1:7" x14ac:dyDescent="0.6">
      <c r="A150" s="116"/>
      <c r="B150" s="115"/>
      <c r="C150" s="115"/>
      <c r="D150" s="115"/>
      <c r="E150" s="115"/>
      <c r="F150" s="115"/>
      <c r="G150" s="113" t="str">
        <f>COUNTIF($B$2:B150,B150)&amp;" : "&amp;B150</f>
        <v xml:space="preserve">0 : </v>
      </c>
    </row>
    <row r="151" spans="1:7" x14ac:dyDescent="0.6">
      <c r="A151" s="116"/>
      <c r="B151" s="115"/>
      <c r="C151" s="115"/>
      <c r="D151" s="115"/>
      <c r="E151" s="115"/>
      <c r="F151" s="115"/>
      <c r="G151" s="113" t="str">
        <f>COUNTIF($B$2:B151,B151)&amp;" : "&amp;B151</f>
        <v xml:space="preserve">0 : </v>
      </c>
    </row>
    <row r="152" spans="1:7" x14ac:dyDescent="0.6">
      <c r="A152" s="116"/>
      <c r="B152" s="115"/>
      <c r="C152" s="115"/>
      <c r="D152" s="115"/>
      <c r="E152" s="115"/>
      <c r="F152" s="115"/>
      <c r="G152" s="113" t="str">
        <f>COUNTIF($B$2:B152,B152)&amp;" : "&amp;B152</f>
        <v xml:space="preserve">0 : </v>
      </c>
    </row>
    <row r="153" spans="1:7" x14ac:dyDescent="0.6">
      <c r="A153" s="116"/>
      <c r="B153" s="115"/>
      <c r="C153" s="115"/>
      <c r="D153" s="115"/>
      <c r="E153" s="115"/>
      <c r="F153" s="115"/>
      <c r="G153" s="113" t="str">
        <f>COUNTIF($B$2:B153,B153)&amp;" : "&amp;B153</f>
        <v xml:space="preserve">0 : </v>
      </c>
    </row>
    <row r="154" spans="1:7" x14ac:dyDescent="0.6">
      <c r="A154" s="116"/>
      <c r="B154" s="115"/>
      <c r="C154" s="115"/>
      <c r="D154" s="115"/>
      <c r="E154" s="115"/>
      <c r="F154" s="115"/>
      <c r="G154" s="113" t="str">
        <f>COUNTIF($B$2:B154,B154)&amp;" : "&amp;B154</f>
        <v xml:space="preserve">0 : </v>
      </c>
    </row>
    <row r="155" spans="1:7" x14ac:dyDescent="0.6">
      <c r="A155" s="116"/>
      <c r="B155" s="115"/>
      <c r="C155" s="115"/>
      <c r="D155" s="115"/>
      <c r="E155" s="115"/>
      <c r="F155" s="115"/>
      <c r="G155" s="113" t="str">
        <f>COUNTIF($B$2:B155,B155)&amp;" : "&amp;B155</f>
        <v xml:space="preserve">0 : </v>
      </c>
    </row>
    <row r="156" spans="1:7" x14ac:dyDescent="0.6">
      <c r="A156" s="116"/>
      <c r="B156" s="115"/>
      <c r="C156" s="115"/>
      <c r="D156" s="115"/>
      <c r="E156" s="115"/>
      <c r="F156" s="115"/>
      <c r="G156" s="113" t="str">
        <f>COUNTIF($B$2:B156,B156)&amp;" : "&amp;B156</f>
        <v xml:space="preserve">0 : </v>
      </c>
    </row>
    <row r="157" spans="1:7" x14ac:dyDescent="0.6">
      <c r="A157" s="116"/>
      <c r="B157" s="115"/>
      <c r="C157" s="115"/>
      <c r="D157" s="115"/>
      <c r="E157" s="115"/>
      <c r="F157" s="115"/>
      <c r="G157" s="113" t="str">
        <f>COUNTIF($B$2:B157,B157)&amp;" : "&amp;B157</f>
        <v xml:space="preserve">0 : </v>
      </c>
    </row>
    <row r="158" spans="1:7" x14ac:dyDescent="0.6">
      <c r="A158" s="116"/>
      <c r="B158" s="115"/>
      <c r="C158" s="115"/>
      <c r="D158" s="115"/>
      <c r="E158" s="115"/>
      <c r="F158" s="115"/>
      <c r="G158" s="113" t="str">
        <f>COUNTIF($B$2:B158,B158)&amp;" : "&amp;B158</f>
        <v xml:space="preserve">0 : </v>
      </c>
    </row>
    <row r="159" spans="1:7" x14ac:dyDescent="0.6">
      <c r="A159" s="116"/>
      <c r="B159" s="115"/>
      <c r="C159" s="115"/>
      <c r="D159" s="115"/>
      <c r="E159" s="115"/>
      <c r="F159" s="115"/>
      <c r="G159" s="113" t="str">
        <f>COUNTIF($B$2:B159,B159)&amp;" : "&amp;B159</f>
        <v xml:space="preserve">0 : </v>
      </c>
    </row>
    <row r="160" spans="1:7" x14ac:dyDescent="0.6">
      <c r="A160" s="116"/>
      <c r="B160" s="115"/>
      <c r="C160" s="115"/>
      <c r="D160" s="115"/>
      <c r="E160" s="115"/>
      <c r="F160" s="115"/>
      <c r="G160" s="113" t="str">
        <f>COUNTIF($B$2:B160,B160)&amp;" : "&amp;B160</f>
        <v xml:space="preserve">0 : </v>
      </c>
    </row>
    <row r="161" spans="1:7" x14ac:dyDescent="0.6">
      <c r="A161" s="116"/>
      <c r="B161" s="115"/>
      <c r="C161" s="115"/>
      <c r="D161" s="115"/>
      <c r="E161" s="115"/>
      <c r="F161" s="115"/>
      <c r="G161" s="113" t="str">
        <f>COUNTIF($B$2:B161,B161)&amp;" : "&amp;B161</f>
        <v xml:space="preserve">0 : </v>
      </c>
    </row>
    <row r="162" spans="1:7" x14ac:dyDescent="0.6">
      <c r="A162" s="116"/>
      <c r="B162" s="115"/>
      <c r="C162" s="115"/>
      <c r="D162" s="115"/>
      <c r="E162" s="115"/>
      <c r="F162" s="115"/>
      <c r="G162" s="113" t="str">
        <f>COUNTIF($B$2:B162,B162)&amp;" : "&amp;B162</f>
        <v xml:space="preserve">0 : </v>
      </c>
    </row>
    <row r="163" spans="1:7" x14ac:dyDescent="0.6">
      <c r="A163" s="116"/>
      <c r="B163" s="115"/>
      <c r="C163" s="115"/>
      <c r="D163" s="115"/>
      <c r="E163" s="115"/>
      <c r="F163" s="115"/>
      <c r="G163" s="113" t="str">
        <f>COUNTIF($B$2:B163,B163)&amp;" : "&amp;B163</f>
        <v xml:space="preserve">0 : </v>
      </c>
    </row>
    <row r="164" spans="1:7" x14ac:dyDescent="0.6">
      <c r="A164" s="116"/>
      <c r="B164" s="115"/>
      <c r="C164" s="115"/>
      <c r="D164" s="115"/>
      <c r="E164" s="115"/>
      <c r="F164" s="115"/>
      <c r="G164" s="113" t="str">
        <f>COUNTIF($B$2:B164,B164)&amp;" : "&amp;B164</f>
        <v xml:space="preserve">0 : </v>
      </c>
    </row>
    <row r="165" spans="1:7" x14ac:dyDescent="0.6">
      <c r="A165" s="116"/>
      <c r="B165" s="115"/>
      <c r="C165" s="115"/>
      <c r="D165" s="115"/>
      <c r="E165" s="115"/>
      <c r="F165" s="115"/>
      <c r="G165" s="113" t="str">
        <f>COUNTIF($B$2:B165,B165)&amp;" : "&amp;B165</f>
        <v xml:space="preserve">0 : </v>
      </c>
    </row>
    <row r="166" spans="1:7" x14ac:dyDescent="0.6">
      <c r="A166" s="116"/>
      <c r="B166" s="115"/>
      <c r="C166" s="115"/>
      <c r="D166" s="115"/>
      <c r="E166" s="115"/>
      <c r="F166" s="115"/>
      <c r="G166" s="113" t="str">
        <f>COUNTIF($B$2:B166,B166)&amp;" : "&amp;B166</f>
        <v xml:space="preserve">0 : </v>
      </c>
    </row>
    <row r="167" spans="1:7" x14ac:dyDescent="0.6">
      <c r="A167" s="116"/>
      <c r="B167" s="115"/>
      <c r="C167" s="115"/>
      <c r="D167" s="115"/>
      <c r="E167" s="115"/>
      <c r="F167" s="115"/>
      <c r="G167" s="113" t="str">
        <f>COUNTIF($B$2:B167,B167)&amp;" : "&amp;B167</f>
        <v xml:space="preserve">0 : </v>
      </c>
    </row>
    <row r="168" spans="1:7" x14ac:dyDescent="0.6">
      <c r="A168" s="116"/>
      <c r="B168" s="115"/>
      <c r="C168" s="115"/>
      <c r="D168" s="115"/>
      <c r="E168" s="115"/>
      <c r="F168" s="115"/>
      <c r="G168" s="113" t="str">
        <f>COUNTIF($B$2:B168,B168)&amp;" : "&amp;B168</f>
        <v xml:space="preserve">0 : </v>
      </c>
    </row>
    <row r="169" spans="1:7" x14ac:dyDescent="0.6">
      <c r="A169" s="116"/>
      <c r="B169" s="115"/>
      <c r="C169" s="115"/>
      <c r="D169" s="115"/>
      <c r="E169" s="115"/>
      <c r="F169" s="115"/>
      <c r="G169" s="113" t="str">
        <f>COUNTIF($B$2:B169,B169)&amp;" : "&amp;B169</f>
        <v xml:space="preserve">0 : </v>
      </c>
    </row>
    <row r="170" spans="1:7" x14ac:dyDescent="0.6">
      <c r="A170" s="116"/>
      <c r="B170" s="115"/>
      <c r="C170" s="115"/>
      <c r="D170" s="115"/>
      <c r="E170" s="115"/>
      <c r="F170" s="115"/>
      <c r="G170" s="113" t="str">
        <f>COUNTIF($B$2:B170,B170)&amp;" : "&amp;B170</f>
        <v xml:space="preserve">0 : </v>
      </c>
    </row>
    <row r="171" spans="1:7" x14ac:dyDescent="0.6">
      <c r="A171" s="116"/>
      <c r="B171" s="115"/>
      <c r="C171" s="115"/>
      <c r="D171" s="115"/>
      <c r="E171" s="115"/>
      <c r="F171" s="115"/>
      <c r="G171" s="113" t="str">
        <f>COUNTIF($B$2:B171,B171)&amp;" : "&amp;B171</f>
        <v xml:space="preserve">0 : </v>
      </c>
    </row>
    <row r="172" spans="1:7" x14ac:dyDescent="0.6">
      <c r="A172" s="116"/>
      <c r="B172" s="115"/>
      <c r="C172" s="115"/>
      <c r="D172" s="115"/>
      <c r="E172" s="115"/>
      <c r="F172" s="115"/>
      <c r="G172" s="113" t="str">
        <f>COUNTIF($B$2:B172,B172)&amp;" : "&amp;B172</f>
        <v xml:space="preserve">0 : </v>
      </c>
    </row>
    <row r="173" spans="1:7" x14ac:dyDescent="0.6">
      <c r="A173" s="116"/>
      <c r="B173" s="115"/>
      <c r="C173" s="115"/>
      <c r="D173" s="115"/>
      <c r="E173" s="115"/>
      <c r="F173" s="115"/>
      <c r="G173" s="113" t="str">
        <f>COUNTIF($B$2:B173,B173)&amp;" : "&amp;B173</f>
        <v xml:space="preserve">0 : </v>
      </c>
    </row>
    <row r="174" spans="1:7" x14ac:dyDescent="0.6">
      <c r="A174" s="116"/>
      <c r="B174" s="115"/>
      <c r="C174" s="115"/>
      <c r="D174" s="115"/>
      <c r="E174" s="115"/>
      <c r="F174" s="115"/>
      <c r="G174" s="113" t="str">
        <f>COUNTIF($B$2:B174,B174)&amp;" : "&amp;B174</f>
        <v xml:space="preserve">0 : </v>
      </c>
    </row>
    <row r="175" spans="1:7" x14ac:dyDescent="0.6">
      <c r="A175" s="116"/>
      <c r="B175" s="115"/>
      <c r="C175" s="115"/>
      <c r="D175" s="115"/>
      <c r="E175" s="115"/>
      <c r="F175" s="115"/>
      <c r="G175" s="113" t="str">
        <f>COUNTIF($B$2:B175,B175)&amp;" : "&amp;B175</f>
        <v xml:space="preserve">0 : </v>
      </c>
    </row>
    <row r="176" spans="1:7" x14ac:dyDescent="0.6">
      <c r="A176" s="116"/>
      <c r="B176" s="115"/>
      <c r="C176" s="115"/>
      <c r="D176" s="115"/>
      <c r="E176" s="115"/>
      <c r="F176" s="115"/>
      <c r="G176" s="113" t="str">
        <f>COUNTIF($B$2:B176,B176)&amp;" : "&amp;B176</f>
        <v xml:space="preserve">0 : </v>
      </c>
    </row>
    <row r="177" spans="1:7" x14ac:dyDescent="0.6">
      <c r="A177" s="116"/>
      <c r="B177" s="115"/>
      <c r="C177" s="115"/>
      <c r="D177" s="115"/>
      <c r="E177" s="115"/>
      <c r="F177" s="115"/>
      <c r="G177" s="113" t="str">
        <f>COUNTIF($B$2:B177,B177)&amp;" : "&amp;B177</f>
        <v xml:space="preserve">0 : </v>
      </c>
    </row>
    <row r="178" spans="1:7" x14ac:dyDescent="0.6">
      <c r="A178" s="116"/>
      <c r="B178" s="115"/>
      <c r="C178" s="115"/>
      <c r="D178" s="115"/>
      <c r="E178" s="115"/>
      <c r="F178" s="115"/>
      <c r="G178" s="113" t="str">
        <f>COUNTIF($B$2:B178,B178)&amp;" : "&amp;B178</f>
        <v xml:space="preserve">0 : </v>
      </c>
    </row>
    <row r="179" spans="1:7" x14ac:dyDescent="0.6">
      <c r="A179" s="116"/>
      <c r="B179" s="115"/>
      <c r="C179" s="115"/>
      <c r="D179" s="115"/>
      <c r="E179" s="115"/>
      <c r="F179" s="115"/>
      <c r="G179" s="113" t="str">
        <f>COUNTIF($B$2:B179,B179)&amp;" : "&amp;B179</f>
        <v xml:space="preserve">0 : </v>
      </c>
    </row>
    <row r="180" spans="1:7" x14ac:dyDescent="0.6">
      <c r="A180" s="116"/>
      <c r="B180" s="115"/>
      <c r="C180" s="115"/>
      <c r="D180" s="115"/>
      <c r="E180" s="115"/>
      <c r="F180" s="115"/>
      <c r="G180" s="113" t="str">
        <f>COUNTIF($B$2:B180,B180)&amp;" : "&amp;B180</f>
        <v xml:space="preserve">0 : </v>
      </c>
    </row>
    <row r="181" spans="1:7" x14ac:dyDescent="0.6">
      <c r="A181" s="116"/>
      <c r="B181" s="115"/>
      <c r="C181" s="115"/>
      <c r="D181" s="115"/>
      <c r="E181" s="115"/>
      <c r="F181" s="115"/>
      <c r="G181" s="113" t="str">
        <f>COUNTIF($B$2:B181,B181)&amp;" : "&amp;B181</f>
        <v xml:space="preserve">0 : </v>
      </c>
    </row>
    <row r="182" spans="1:7" x14ac:dyDescent="0.6">
      <c r="A182" s="116"/>
      <c r="B182" s="115"/>
      <c r="C182" s="115"/>
      <c r="D182" s="115"/>
      <c r="E182" s="115"/>
      <c r="F182" s="115"/>
      <c r="G182" s="113" t="str">
        <f>COUNTIF($B$2:B182,B182)&amp;" : "&amp;B182</f>
        <v xml:space="preserve">0 : </v>
      </c>
    </row>
    <row r="183" spans="1:7" x14ac:dyDescent="0.6">
      <c r="A183" s="116"/>
      <c r="B183" s="115"/>
      <c r="C183" s="115"/>
      <c r="D183" s="115"/>
      <c r="E183" s="115"/>
      <c r="F183" s="115"/>
      <c r="G183" s="113" t="str">
        <f>COUNTIF($B$2:B183,B183)&amp;" : "&amp;B183</f>
        <v xml:space="preserve">0 : </v>
      </c>
    </row>
    <row r="184" spans="1:7" x14ac:dyDescent="0.6">
      <c r="A184" s="116"/>
      <c r="B184" s="115"/>
      <c r="C184" s="115"/>
      <c r="D184" s="115"/>
      <c r="E184" s="115"/>
      <c r="F184" s="115"/>
      <c r="G184" s="113" t="str">
        <f>COUNTIF($B$2:B184,B184)&amp;" : "&amp;B184</f>
        <v xml:space="preserve">0 : </v>
      </c>
    </row>
    <row r="185" spans="1:7" x14ac:dyDescent="0.6">
      <c r="A185" s="116"/>
      <c r="B185" s="115"/>
      <c r="C185" s="115"/>
      <c r="D185" s="115"/>
      <c r="E185" s="115"/>
      <c r="F185" s="115"/>
      <c r="G185" s="113" t="str">
        <f>COUNTIF($B$2:B185,B185)&amp;" : "&amp;B185</f>
        <v xml:space="preserve">0 : </v>
      </c>
    </row>
    <row r="186" spans="1:7" x14ac:dyDescent="0.6">
      <c r="A186" s="116"/>
      <c r="B186" s="115"/>
      <c r="C186" s="115"/>
      <c r="D186" s="115"/>
      <c r="E186" s="115"/>
      <c r="F186" s="115"/>
      <c r="G186" s="113" t="str">
        <f>COUNTIF($B$2:B186,B186)&amp;" : "&amp;B186</f>
        <v xml:space="preserve">0 : </v>
      </c>
    </row>
    <row r="187" spans="1:7" x14ac:dyDescent="0.6">
      <c r="A187" s="116"/>
      <c r="B187" s="115"/>
      <c r="C187" s="115"/>
      <c r="D187" s="115"/>
      <c r="E187" s="115"/>
      <c r="F187" s="115"/>
      <c r="G187" s="113" t="str">
        <f>COUNTIF($B$2:B187,B187)&amp;" : "&amp;B187</f>
        <v xml:space="preserve">0 : </v>
      </c>
    </row>
    <row r="188" spans="1:7" x14ac:dyDescent="0.6">
      <c r="A188" s="116"/>
      <c r="B188" s="115"/>
      <c r="C188" s="115"/>
      <c r="D188" s="115"/>
      <c r="E188" s="115"/>
      <c r="F188" s="115"/>
      <c r="G188" s="113" t="str">
        <f>COUNTIF($B$2:B188,B188)&amp;" : "&amp;B188</f>
        <v xml:space="preserve">0 : </v>
      </c>
    </row>
    <row r="189" spans="1:7" x14ac:dyDescent="0.6">
      <c r="A189" s="116"/>
      <c r="B189" s="115"/>
      <c r="C189" s="115"/>
      <c r="D189" s="115"/>
      <c r="E189" s="115"/>
      <c r="F189" s="115"/>
      <c r="G189" s="113" t="str">
        <f>COUNTIF($B$2:B189,B189)&amp;" : "&amp;B189</f>
        <v xml:space="preserve">0 : </v>
      </c>
    </row>
    <row r="190" spans="1:7" x14ac:dyDescent="0.6">
      <c r="A190" s="116"/>
      <c r="B190" s="115"/>
      <c r="C190" s="115"/>
      <c r="D190" s="115"/>
      <c r="E190" s="115"/>
      <c r="F190" s="115"/>
      <c r="G190" s="113" t="str">
        <f>COUNTIF($B$2:B190,B190)&amp;" : "&amp;B190</f>
        <v xml:space="preserve">0 : </v>
      </c>
    </row>
    <row r="191" spans="1:7" x14ac:dyDescent="0.6">
      <c r="A191" s="116"/>
      <c r="B191" s="115"/>
      <c r="C191" s="115"/>
      <c r="D191" s="115"/>
      <c r="E191" s="115"/>
      <c r="F191" s="115"/>
      <c r="G191" s="113" t="str">
        <f>COUNTIF($B$2:B191,B191)&amp;" : "&amp;B191</f>
        <v xml:space="preserve">0 : </v>
      </c>
    </row>
    <row r="192" spans="1:7" x14ac:dyDescent="0.6">
      <c r="A192" s="116"/>
      <c r="B192" s="115"/>
      <c r="C192" s="115"/>
      <c r="D192" s="115"/>
      <c r="E192" s="115"/>
      <c r="F192" s="115"/>
      <c r="G192" s="113" t="str">
        <f>COUNTIF($B$2:B192,B192)&amp;" : "&amp;B192</f>
        <v xml:space="preserve">0 : </v>
      </c>
    </row>
    <row r="193" spans="1:7" x14ac:dyDescent="0.6">
      <c r="A193" s="116"/>
      <c r="B193" s="115"/>
      <c r="C193" s="115"/>
      <c r="D193" s="115"/>
      <c r="E193" s="115"/>
      <c r="F193" s="115"/>
      <c r="G193" s="113" t="str">
        <f>COUNTIF($B$2:B193,B193)&amp;" : "&amp;B193</f>
        <v xml:space="preserve">0 : </v>
      </c>
    </row>
    <row r="194" spans="1:7" x14ac:dyDescent="0.6">
      <c r="A194" s="116"/>
      <c r="B194" s="115"/>
      <c r="C194" s="115"/>
      <c r="D194" s="115"/>
      <c r="E194" s="115"/>
      <c r="F194" s="115"/>
      <c r="G194" s="113" t="str">
        <f>COUNTIF($B$2:B194,B194)&amp;" : "&amp;B194</f>
        <v xml:space="preserve">0 : </v>
      </c>
    </row>
    <row r="195" spans="1:7" x14ac:dyDescent="0.6">
      <c r="A195" s="116"/>
      <c r="B195" s="115"/>
      <c r="C195" s="115"/>
      <c r="D195" s="115"/>
      <c r="E195" s="115"/>
      <c r="F195" s="115"/>
      <c r="G195" s="113" t="str">
        <f>COUNTIF($B$2:B195,B195)&amp;" : "&amp;B195</f>
        <v xml:space="preserve">0 : </v>
      </c>
    </row>
    <row r="196" spans="1:7" x14ac:dyDescent="0.6">
      <c r="A196" s="116"/>
      <c r="B196" s="115"/>
      <c r="C196" s="115"/>
      <c r="D196" s="115"/>
      <c r="E196" s="115"/>
      <c r="F196" s="115"/>
      <c r="G196" s="113" t="str">
        <f>COUNTIF($B$2:B196,B196)&amp;" : "&amp;B196</f>
        <v xml:space="preserve">0 : </v>
      </c>
    </row>
    <row r="197" spans="1:7" x14ac:dyDescent="0.6">
      <c r="A197" s="116"/>
      <c r="B197" s="115"/>
      <c r="C197" s="115"/>
      <c r="D197" s="115"/>
      <c r="E197" s="115"/>
      <c r="F197" s="115"/>
      <c r="G197" s="113" t="str">
        <f>COUNTIF($B$2:B197,B197)&amp;" : "&amp;B197</f>
        <v xml:space="preserve">0 : </v>
      </c>
    </row>
    <row r="198" spans="1:7" x14ac:dyDescent="0.6">
      <c r="A198" s="116"/>
      <c r="B198" s="115"/>
      <c r="C198" s="115"/>
      <c r="D198" s="115"/>
      <c r="E198" s="115"/>
      <c r="F198" s="115"/>
      <c r="G198" s="113" t="str">
        <f>COUNTIF($B$2:B198,B198)&amp;" : "&amp;B198</f>
        <v xml:space="preserve">0 : </v>
      </c>
    </row>
    <row r="199" spans="1:7" x14ac:dyDescent="0.6">
      <c r="A199" s="116"/>
      <c r="B199" s="115"/>
      <c r="C199" s="115"/>
      <c r="D199" s="115"/>
      <c r="E199" s="115"/>
      <c r="F199" s="115"/>
      <c r="G199" s="113" t="str">
        <f>COUNTIF($B$2:B199,B199)&amp;" : "&amp;B199</f>
        <v xml:space="preserve">0 : </v>
      </c>
    </row>
    <row r="200" spans="1:7" x14ac:dyDescent="0.6">
      <c r="A200" s="116"/>
      <c r="B200" s="115"/>
      <c r="C200" s="115"/>
      <c r="D200" s="115"/>
      <c r="E200" s="115"/>
      <c r="F200" s="115"/>
      <c r="G200" s="113" t="str">
        <f>COUNTIF($B$2:B200,B200)&amp;" : "&amp;B200</f>
        <v xml:space="preserve">0 : </v>
      </c>
    </row>
  </sheetData>
  <conditionalFormatting sqref="A2:F200">
    <cfRule type="expression" dxfId="0" priority="1">
      <formula>$B2&lt;&gt;$B1</formula>
    </cfRule>
  </conditionalFormatting>
  <pageMargins left="0.7" right="0.7" top="0.75" bottom="0.75" header="0.3" footer="0.3"/>
  <ignoredErrors>
    <ignoredError sqref="G3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EC870-A96C-4678-B5FD-6F0D7D7F0E91}">
  <dimension ref="A1:D200"/>
  <sheetViews>
    <sheetView zoomScale="190" zoomScaleNormal="190" workbookViewId="0">
      <selection activeCell="D4" sqref="D4:D8"/>
    </sheetView>
  </sheetViews>
  <sheetFormatPr defaultRowHeight="14" x14ac:dyDescent="0.3"/>
  <cols>
    <col min="2" max="2" width="11.33203125" style="37" bestFit="1" customWidth="1"/>
    <col min="3" max="3" width="15.33203125" style="38" bestFit="1" customWidth="1"/>
    <col min="4" max="4" width="10.08203125" style="39" customWidth="1"/>
  </cols>
  <sheetData>
    <row r="1" spans="1:4" x14ac:dyDescent="0.3">
      <c r="A1" s="25" t="s">
        <v>64</v>
      </c>
      <c r="B1" s="25" t="s">
        <v>13</v>
      </c>
      <c r="C1" s="26" t="s">
        <v>34</v>
      </c>
      <c r="D1" s="27" t="s">
        <v>16</v>
      </c>
    </row>
    <row r="2" spans="1:4" ht="18" x14ac:dyDescent="0.6">
      <c r="A2" s="28" t="s">
        <v>65</v>
      </c>
      <c r="B2" s="28" t="s">
        <v>66</v>
      </c>
      <c r="C2" s="29" t="s">
        <v>67</v>
      </c>
      <c r="D2" s="30">
        <v>0.92200000000000004</v>
      </c>
    </row>
    <row r="3" spans="1:4" ht="18" x14ac:dyDescent="0.6">
      <c r="A3" s="28" t="s">
        <v>65</v>
      </c>
      <c r="B3" s="31" t="s">
        <v>35</v>
      </c>
      <c r="C3" s="32" t="s">
        <v>68</v>
      </c>
      <c r="D3" s="30">
        <v>0.307</v>
      </c>
    </row>
    <row r="4" spans="1:4" ht="18" x14ac:dyDescent="0.6">
      <c r="A4" s="28" t="s">
        <v>69</v>
      </c>
      <c r="B4" s="31" t="s">
        <v>70</v>
      </c>
      <c r="C4" s="29" t="s">
        <v>71</v>
      </c>
      <c r="D4" s="30">
        <v>0.76800000000000002</v>
      </c>
    </row>
    <row r="5" spans="1:4" ht="18" x14ac:dyDescent="0.6">
      <c r="A5" s="28" t="s">
        <v>69</v>
      </c>
      <c r="B5" s="31" t="s">
        <v>72</v>
      </c>
      <c r="C5" s="29" t="s">
        <v>73</v>
      </c>
      <c r="D5" s="30">
        <v>0.69099999999999995</v>
      </c>
    </row>
    <row r="6" spans="1:4" ht="18" x14ac:dyDescent="0.6">
      <c r="A6" s="28" t="s">
        <v>74</v>
      </c>
      <c r="B6" s="32" t="s">
        <v>75</v>
      </c>
      <c r="C6" s="32" t="s">
        <v>75</v>
      </c>
      <c r="D6" s="30">
        <v>0.154</v>
      </c>
    </row>
    <row r="7" spans="1:4" ht="18" x14ac:dyDescent="0.6">
      <c r="A7" s="28" t="s">
        <v>74</v>
      </c>
      <c r="B7" s="32" t="s">
        <v>76</v>
      </c>
      <c r="C7" s="32" t="s">
        <v>76</v>
      </c>
      <c r="D7" s="30">
        <v>0.26100000000000001</v>
      </c>
    </row>
    <row r="8" spans="1:4" ht="18" x14ac:dyDescent="0.6">
      <c r="A8" s="28" t="s">
        <v>74</v>
      </c>
      <c r="B8" s="32" t="s">
        <v>77</v>
      </c>
      <c r="C8" s="32" t="s">
        <v>77</v>
      </c>
      <c r="D8" s="30">
        <v>0.2</v>
      </c>
    </row>
    <row r="9" spans="1:4" x14ac:dyDescent="0.3">
      <c r="B9" s="33" t="s">
        <v>36</v>
      </c>
      <c r="C9" s="33"/>
      <c r="D9" s="35">
        <v>1650</v>
      </c>
    </row>
    <row r="10" spans="1:4" x14ac:dyDescent="0.3">
      <c r="B10" s="33"/>
      <c r="C10" s="34"/>
      <c r="D10" s="36"/>
    </row>
    <row r="11" spans="1:4" x14ac:dyDescent="0.3">
      <c r="B11" s="33"/>
      <c r="C11" s="34"/>
      <c r="D11" s="36"/>
    </row>
    <row r="12" spans="1:4" x14ac:dyDescent="0.3">
      <c r="B12" s="33"/>
      <c r="C12" s="34"/>
      <c r="D12" s="36"/>
    </row>
    <row r="13" spans="1:4" x14ac:dyDescent="0.3">
      <c r="B13" s="33"/>
      <c r="C13" s="34"/>
      <c r="D13" s="36"/>
    </row>
    <row r="14" spans="1:4" x14ac:dyDescent="0.3">
      <c r="B14" s="33"/>
      <c r="C14" s="34"/>
      <c r="D14" s="36"/>
    </row>
    <row r="15" spans="1:4" x14ac:dyDescent="0.3">
      <c r="B15" s="33"/>
      <c r="C15" s="34"/>
      <c r="D15" s="36"/>
    </row>
    <row r="16" spans="1:4" x14ac:dyDescent="0.3">
      <c r="B16" s="33"/>
      <c r="C16" s="34"/>
      <c r="D16" s="36"/>
    </row>
    <row r="17" spans="2:4" x14ac:dyDescent="0.3">
      <c r="B17" s="33"/>
      <c r="C17" s="34"/>
      <c r="D17" s="36"/>
    </row>
    <row r="18" spans="2:4" x14ac:dyDescent="0.3">
      <c r="B18" s="33"/>
      <c r="C18" s="34"/>
      <c r="D18" s="36"/>
    </row>
    <row r="19" spans="2:4" x14ac:dyDescent="0.3">
      <c r="B19" s="33"/>
      <c r="C19" s="34"/>
      <c r="D19" s="36"/>
    </row>
    <row r="20" spans="2:4" x14ac:dyDescent="0.3">
      <c r="B20" s="33"/>
      <c r="C20" s="34"/>
      <c r="D20" s="36"/>
    </row>
    <row r="21" spans="2:4" x14ac:dyDescent="0.3">
      <c r="B21" s="33"/>
      <c r="C21" s="34"/>
      <c r="D21" s="36"/>
    </row>
    <row r="22" spans="2:4" x14ac:dyDescent="0.3">
      <c r="B22" s="33"/>
      <c r="C22" s="34"/>
      <c r="D22" s="36"/>
    </row>
    <row r="23" spans="2:4" x14ac:dyDescent="0.3">
      <c r="B23" s="33"/>
      <c r="C23" s="34"/>
      <c r="D23" s="36"/>
    </row>
    <row r="24" spans="2:4" x14ac:dyDescent="0.3">
      <c r="B24" s="33"/>
      <c r="C24" s="34"/>
      <c r="D24" s="36"/>
    </row>
    <row r="25" spans="2:4" x14ac:dyDescent="0.3">
      <c r="B25" s="33"/>
      <c r="C25" s="34"/>
      <c r="D25" s="36"/>
    </row>
    <row r="26" spans="2:4" x14ac:dyDescent="0.3">
      <c r="B26" s="33"/>
      <c r="C26" s="34"/>
      <c r="D26" s="36"/>
    </row>
    <row r="27" spans="2:4" x14ac:dyDescent="0.3">
      <c r="B27" s="33"/>
      <c r="C27" s="34"/>
      <c r="D27" s="36"/>
    </row>
    <row r="28" spans="2:4" x14ac:dyDescent="0.3">
      <c r="B28" s="33"/>
      <c r="C28" s="34"/>
      <c r="D28" s="36"/>
    </row>
    <row r="29" spans="2:4" x14ac:dyDescent="0.3">
      <c r="B29" s="33"/>
      <c r="C29" s="34"/>
      <c r="D29" s="36"/>
    </row>
    <row r="30" spans="2:4" x14ac:dyDescent="0.3">
      <c r="B30" s="33"/>
      <c r="C30" s="34"/>
      <c r="D30" s="36"/>
    </row>
    <row r="31" spans="2:4" x14ac:dyDescent="0.3">
      <c r="B31" s="33"/>
      <c r="C31" s="34"/>
      <c r="D31" s="36"/>
    </row>
    <row r="32" spans="2:4" x14ac:dyDescent="0.3">
      <c r="B32" s="33"/>
      <c r="C32" s="34"/>
      <c r="D32" s="36"/>
    </row>
    <row r="33" spans="2:4" x14ac:dyDescent="0.3">
      <c r="B33" s="33"/>
      <c r="C33" s="34"/>
      <c r="D33" s="36"/>
    </row>
    <row r="34" spans="2:4" x14ac:dyDescent="0.3">
      <c r="B34" s="33"/>
      <c r="C34" s="34"/>
      <c r="D34" s="36"/>
    </row>
    <row r="35" spans="2:4" x14ac:dyDescent="0.3">
      <c r="B35" s="33"/>
      <c r="C35" s="34"/>
      <c r="D35" s="36"/>
    </row>
    <row r="36" spans="2:4" x14ac:dyDescent="0.3">
      <c r="B36" s="33"/>
      <c r="C36" s="34"/>
      <c r="D36" s="36"/>
    </row>
    <row r="37" spans="2:4" x14ac:dyDescent="0.3">
      <c r="B37" s="33"/>
      <c r="C37" s="34"/>
      <c r="D37" s="36"/>
    </row>
    <row r="38" spans="2:4" x14ac:dyDescent="0.3">
      <c r="B38" s="33"/>
      <c r="C38" s="34"/>
      <c r="D38" s="36"/>
    </row>
    <row r="39" spans="2:4" x14ac:dyDescent="0.3">
      <c r="B39" s="33"/>
      <c r="C39" s="34"/>
      <c r="D39" s="36"/>
    </row>
    <row r="40" spans="2:4" x14ac:dyDescent="0.3">
      <c r="B40" s="33"/>
      <c r="C40" s="34"/>
      <c r="D40" s="36"/>
    </row>
    <row r="41" spans="2:4" x14ac:dyDescent="0.3">
      <c r="B41" s="33"/>
      <c r="C41" s="34"/>
      <c r="D41" s="36"/>
    </row>
    <row r="42" spans="2:4" x14ac:dyDescent="0.3">
      <c r="B42" s="33"/>
      <c r="C42" s="34"/>
      <c r="D42" s="36"/>
    </row>
    <row r="43" spans="2:4" x14ac:dyDescent="0.3">
      <c r="B43" s="33"/>
      <c r="C43" s="34"/>
      <c r="D43" s="36"/>
    </row>
    <row r="44" spans="2:4" x14ac:dyDescent="0.3">
      <c r="B44" s="33"/>
      <c r="C44" s="34"/>
      <c r="D44" s="36"/>
    </row>
    <row r="45" spans="2:4" x14ac:dyDescent="0.3">
      <c r="B45" s="33"/>
      <c r="C45" s="34"/>
      <c r="D45" s="36"/>
    </row>
    <row r="46" spans="2:4" x14ac:dyDescent="0.3">
      <c r="B46" s="33"/>
      <c r="C46" s="34"/>
      <c r="D46" s="36"/>
    </row>
    <row r="47" spans="2:4" x14ac:dyDescent="0.3">
      <c r="B47" s="33"/>
      <c r="C47" s="34"/>
      <c r="D47" s="36"/>
    </row>
    <row r="48" spans="2:4" x14ac:dyDescent="0.3">
      <c r="B48" s="33"/>
      <c r="C48" s="34"/>
      <c r="D48" s="36"/>
    </row>
    <row r="49" spans="2:4" x14ac:dyDescent="0.3">
      <c r="B49" s="33"/>
      <c r="C49" s="34"/>
      <c r="D49" s="36"/>
    </row>
    <row r="50" spans="2:4" x14ac:dyDescent="0.3">
      <c r="B50" s="33"/>
      <c r="C50" s="34"/>
      <c r="D50" s="36"/>
    </row>
    <row r="51" spans="2:4" x14ac:dyDescent="0.3">
      <c r="B51" s="33"/>
      <c r="C51" s="34"/>
      <c r="D51" s="36"/>
    </row>
    <row r="52" spans="2:4" x14ac:dyDescent="0.3">
      <c r="B52" s="33"/>
      <c r="C52" s="34"/>
      <c r="D52" s="36"/>
    </row>
    <row r="53" spans="2:4" x14ac:dyDescent="0.3">
      <c r="B53" s="33"/>
      <c r="C53" s="34"/>
      <c r="D53" s="36"/>
    </row>
    <row r="54" spans="2:4" x14ac:dyDescent="0.3">
      <c r="B54" s="33"/>
      <c r="C54" s="34"/>
      <c r="D54" s="36"/>
    </row>
    <row r="55" spans="2:4" x14ac:dyDescent="0.3">
      <c r="B55" s="33"/>
      <c r="C55" s="34"/>
      <c r="D55" s="36"/>
    </row>
    <row r="56" spans="2:4" x14ac:dyDescent="0.3">
      <c r="B56" s="33"/>
      <c r="C56" s="34"/>
      <c r="D56" s="36"/>
    </row>
    <row r="57" spans="2:4" x14ac:dyDescent="0.3">
      <c r="B57" s="33"/>
      <c r="C57" s="34"/>
      <c r="D57" s="36"/>
    </row>
    <row r="58" spans="2:4" x14ac:dyDescent="0.3">
      <c r="B58" s="33"/>
      <c r="C58" s="34"/>
      <c r="D58" s="36"/>
    </row>
    <row r="59" spans="2:4" x14ac:dyDescent="0.3">
      <c r="B59" s="33"/>
      <c r="C59" s="34"/>
      <c r="D59" s="36"/>
    </row>
    <row r="60" spans="2:4" x14ac:dyDescent="0.3">
      <c r="B60" s="33"/>
      <c r="C60" s="34"/>
      <c r="D60" s="36"/>
    </row>
    <row r="61" spans="2:4" x14ac:dyDescent="0.3">
      <c r="B61" s="33"/>
      <c r="C61" s="34"/>
      <c r="D61" s="36"/>
    </row>
    <row r="62" spans="2:4" x14ac:dyDescent="0.3">
      <c r="B62" s="33"/>
      <c r="C62" s="34"/>
      <c r="D62" s="36"/>
    </row>
    <row r="63" spans="2:4" x14ac:dyDescent="0.3">
      <c r="B63" s="33"/>
      <c r="C63" s="34"/>
      <c r="D63" s="36"/>
    </row>
    <row r="64" spans="2:4" x14ac:dyDescent="0.3">
      <c r="B64" s="33"/>
      <c r="C64" s="34"/>
      <c r="D64" s="36"/>
    </row>
    <row r="65" spans="2:4" x14ac:dyDescent="0.3">
      <c r="B65" s="33"/>
      <c r="C65" s="34"/>
      <c r="D65" s="36"/>
    </row>
    <row r="66" spans="2:4" x14ac:dyDescent="0.3">
      <c r="B66" s="33"/>
      <c r="C66" s="34"/>
      <c r="D66" s="36"/>
    </row>
    <row r="67" spans="2:4" x14ac:dyDescent="0.3">
      <c r="B67" s="33"/>
      <c r="C67" s="34"/>
      <c r="D67" s="36"/>
    </row>
    <row r="68" spans="2:4" x14ac:dyDescent="0.3">
      <c r="B68" s="33"/>
      <c r="C68" s="34"/>
      <c r="D68" s="36"/>
    </row>
    <row r="69" spans="2:4" x14ac:dyDescent="0.3">
      <c r="B69" s="33"/>
      <c r="C69" s="34"/>
      <c r="D69" s="36"/>
    </row>
    <row r="70" spans="2:4" x14ac:dyDescent="0.3">
      <c r="B70" s="33"/>
      <c r="C70" s="34"/>
      <c r="D70" s="36"/>
    </row>
    <row r="71" spans="2:4" x14ac:dyDescent="0.3">
      <c r="B71" s="33"/>
      <c r="C71" s="34"/>
      <c r="D71" s="36"/>
    </row>
    <row r="72" spans="2:4" x14ac:dyDescent="0.3">
      <c r="B72" s="33"/>
      <c r="C72" s="34"/>
      <c r="D72" s="36"/>
    </row>
    <row r="73" spans="2:4" x14ac:dyDescent="0.3">
      <c r="B73" s="33"/>
      <c r="C73" s="34"/>
      <c r="D73" s="36"/>
    </row>
    <row r="74" spans="2:4" x14ac:dyDescent="0.3">
      <c r="B74" s="33"/>
      <c r="C74" s="34"/>
      <c r="D74" s="36"/>
    </row>
    <row r="75" spans="2:4" x14ac:dyDescent="0.3">
      <c r="B75" s="33"/>
      <c r="C75" s="34"/>
      <c r="D75" s="36"/>
    </row>
    <row r="76" spans="2:4" x14ac:dyDescent="0.3">
      <c r="B76" s="33"/>
      <c r="C76" s="34"/>
      <c r="D76" s="36"/>
    </row>
    <row r="77" spans="2:4" x14ac:dyDescent="0.3">
      <c r="B77" s="33"/>
      <c r="C77" s="34"/>
      <c r="D77" s="36"/>
    </row>
    <row r="78" spans="2:4" x14ac:dyDescent="0.3">
      <c r="B78" s="33"/>
      <c r="C78" s="34"/>
      <c r="D78" s="36"/>
    </row>
    <row r="79" spans="2:4" x14ac:dyDescent="0.3">
      <c r="B79" s="33"/>
      <c r="C79" s="34"/>
      <c r="D79" s="36"/>
    </row>
    <row r="80" spans="2:4" x14ac:dyDescent="0.3">
      <c r="B80" s="33"/>
      <c r="C80" s="34"/>
      <c r="D80" s="36"/>
    </row>
    <row r="81" spans="2:4" x14ac:dyDescent="0.3">
      <c r="B81" s="33"/>
      <c r="C81" s="34"/>
      <c r="D81" s="36"/>
    </row>
    <row r="82" spans="2:4" x14ac:dyDescent="0.3">
      <c r="B82" s="33"/>
      <c r="C82" s="34"/>
      <c r="D82" s="36"/>
    </row>
    <row r="83" spans="2:4" x14ac:dyDescent="0.3">
      <c r="B83" s="33"/>
      <c r="C83" s="34"/>
      <c r="D83" s="36"/>
    </row>
    <row r="84" spans="2:4" x14ac:dyDescent="0.3">
      <c r="B84" s="33"/>
      <c r="C84" s="34"/>
      <c r="D84" s="36"/>
    </row>
    <row r="85" spans="2:4" x14ac:dyDescent="0.3">
      <c r="B85" s="33"/>
      <c r="C85" s="34"/>
      <c r="D85" s="36"/>
    </row>
    <row r="86" spans="2:4" x14ac:dyDescent="0.3">
      <c r="B86" s="33"/>
      <c r="C86" s="34"/>
      <c r="D86" s="36"/>
    </row>
    <row r="87" spans="2:4" x14ac:dyDescent="0.3">
      <c r="B87" s="33"/>
      <c r="C87" s="34"/>
      <c r="D87" s="36"/>
    </row>
    <row r="88" spans="2:4" x14ac:dyDescent="0.3">
      <c r="B88" s="33"/>
      <c r="C88" s="34"/>
      <c r="D88" s="36"/>
    </row>
    <row r="89" spans="2:4" x14ac:dyDescent="0.3">
      <c r="B89" s="33"/>
      <c r="C89" s="34"/>
      <c r="D89" s="36"/>
    </row>
    <row r="90" spans="2:4" x14ac:dyDescent="0.3">
      <c r="B90" s="33"/>
      <c r="C90" s="34"/>
      <c r="D90" s="36"/>
    </row>
    <row r="91" spans="2:4" x14ac:dyDescent="0.3">
      <c r="B91" s="33"/>
      <c r="C91" s="34"/>
      <c r="D91" s="36"/>
    </row>
    <row r="92" spans="2:4" x14ac:dyDescent="0.3">
      <c r="B92" s="33"/>
      <c r="C92" s="34"/>
      <c r="D92" s="36"/>
    </row>
    <row r="93" spans="2:4" x14ac:dyDescent="0.3">
      <c r="B93" s="33"/>
      <c r="C93" s="34"/>
      <c r="D93" s="36"/>
    </row>
    <row r="94" spans="2:4" x14ac:dyDescent="0.3">
      <c r="B94" s="33"/>
      <c r="C94" s="34"/>
      <c r="D94" s="36"/>
    </row>
    <row r="95" spans="2:4" x14ac:dyDescent="0.3">
      <c r="B95" s="33"/>
      <c r="C95" s="34"/>
      <c r="D95" s="36"/>
    </row>
    <row r="96" spans="2:4" x14ac:dyDescent="0.3">
      <c r="B96" s="33"/>
      <c r="C96" s="34"/>
      <c r="D96" s="36"/>
    </row>
    <row r="97" spans="2:4" x14ac:dyDescent="0.3">
      <c r="B97" s="33"/>
      <c r="C97" s="34"/>
      <c r="D97" s="36"/>
    </row>
    <row r="98" spans="2:4" x14ac:dyDescent="0.3">
      <c r="B98" s="33"/>
      <c r="C98" s="34"/>
      <c r="D98" s="36"/>
    </row>
    <row r="99" spans="2:4" x14ac:dyDescent="0.3">
      <c r="B99" s="33"/>
      <c r="C99" s="34"/>
      <c r="D99" s="36"/>
    </row>
    <row r="100" spans="2:4" x14ac:dyDescent="0.3">
      <c r="B100" s="33"/>
      <c r="C100" s="34"/>
      <c r="D100" s="36"/>
    </row>
    <row r="101" spans="2:4" x14ac:dyDescent="0.3">
      <c r="B101" s="33"/>
      <c r="C101" s="34"/>
      <c r="D101" s="36"/>
    </row>
    <row r="102" spans="2:4" x14ac:dyDescent="0.3">
      <c r="B102" s="33"/>
      <c r="C102" s="34"/>
      <c r="D102" s="36"/>
    </row>
    <row r="103" spans="2:4" x14ac:dyDescent="0.3">
      <c r="B103" s="33"/>
      <c r="C103" s="34"/>
      <c r="D103" s="36"/>
    </row>
    <row r="104" spans="2:4" x14ac:dyDescent="0.3">
      <c r="B104" s="33"/>
      <c r="C104" s="34"/>
      <c r="D104" s="36"/>
    </row>
    <row r="105" spans="2:4" x14ac:dyDescent="0.3">
      <c r="B105" s="33"/>
      <c r="C105" s="34"/>
      <c r="D105" s="36"/>
    </row>
    <row r="106" spans="2:4" x14ac:dyDescent="0.3">
      <c r="B106" s="33"/>
      <c r="C106" s="34"/>
      <c r="D106" s="36"/>
    </row>
    <row r="107" spans="2:4" x14ac:dyDescent="0.3">
      <c r="B107" s="33"/>
      <c r="C107" s="34"/>
      <c r="D107" s="36"/>
    </row>
    <row r="108" spans="2:4" x14ac:dyDescent="0.3">
      <c r="B108" s="33"/>
      <c r="C108" s="34"/>
      <c r="D108" s="36"/>
    </row>
    <row r="109" spans="2:4" x14ac:dyDescent="0.3">
      <c r="B109" s="33"/>
      <c r="C109" s="34"/>
      <c r="D109" s="36"/>
    </row>
    <row r="110" spans="2:4" x14ac:dyDescent="0.3">
      <c r="B110" s="33"/>
      <c r="C110" s="34"/>
      <c r="D110" s="36"/>
    </row>
    <row r="111" spans="2:4" x14ac:dyDescent="0.3">
      <c r="B111" s="33"/>
      <c r="C111" s="34"/>
      <c r="D111" s="36"/>
    </row>
    <row r="112" spans="2:4" x14ac:dyDescent="0.3">
      <c r="B112" s="33"/>
      <c r="C112" s="34"/>
      <c r="D112" s="36"/>
    </row>
    <row r="113" spans="2:4" x14ac:dyDescent="0.3">
      <c r="B113" s="33"/>
      <c r="C113" s="34"/>
      <c r="D113" s="36"/>
    </row>
    <row r="114" spans="2:4" x14ac:dyDescent="0.3">
      <c r="B114" s="33"/>
      <c r="C114" s="34"/>
      <c r="D114" s="36"/>
    </row>
    <row r="115" spans="2:4" x14ac:dyDescent="0.3">
      <c r="B115" s="33"/>
      <c r="C115" s="34"/>
      <c r="D115" s="36"/>
    </row>
    <row r="116" spans="2:4" x14ac:dyDescent="0.3">
      <c r="B116" s="33"/>
      <c r="C116" s="34"/>
      <c r="D116" s="36"/>
    </row>
    <row r="117" spans="2:4" x14ac:dyDescent="0.3">
      <c r="B117" s="33"/>
      <c r="C117" s="34"/>
      <c r="D117" s="36"/>
    </row>
    <row r="118" spans="2:4" x14ac:dyDescent="0.3">
      <c r="B118" s="33"/>
      <c r="C118" s="34"/>
      <c r="D118" s="36"/>
    </row>
    <row r="119" spans="2:4" x14ac:dyDescent="0.3">
      <c r="B119" s="33"/>
      <c r="C119" s="34"/>
      <c r="D119" s="36"/>
    </row>
    <row r="120" spans="2:4" x14ac:dyDescent="0.3">
      <c r="B120" s="33"/>
      <c r="C120" s="34"/>
      <c r="D120" s="36"/>
    </row>
    <row r="121" spans="2:4" x14ac:dyDescent="0.3">
      <c r="B121" s="33"/>
      <c r="C121" s="34"/>
      <c r="D121" s="36"/>
    </row>
    <row r="122" spans="2:4" x14ac:dyDescent="0.3">
      <c r="B122" s="33"/>
      <c r="C122" s="34"/>
      <c r="D122" s="36"/>
    </row>
    <row r="123" spans="2:4" x14ac:dyDescent="0.3">
      <c r="B123" s="33"/>
      <c r="C123" s="34"/>
      <c r="D123" s="36"/>
    </row>
    <row r="124" spans="2:4" x14ac:dyDescent="0.3">
      <c r="B124" s="33"/>
      <c r="C124" s="34"/>
      <c r="D124" s="36"/>
    </row>
    <row r="125" spans="2:4" x14ac:dyDescent="0.3">
      <c r="B125" s="33"/>
      <c r="C125" s="34"/>
      <c r="D125" s="36"/>
    </row>
    <row r="126" spans="2:4" x14ac:dyDescent="0.3">
      <c r="B126" s="33"/>
      <c r="C126" s="34"/>
      <c r="D126" s="36"/>
    </row>
    <row r="127" spans="2:4" x14ac:dyDescent="0.3">
      <c r="B127" s="33"/>
      <c r="C127" s="34"/>
      <c r="D127" s="36"/>
    </row>
    <row r="128" spans="2:4" x14ac:dyDescent="0.3">
      <c r="B128" s="33"/>
      <c r="C128" s="34"/>
      <c r="D128" s="36"/>
    </row>
    <row r="129" spans="2:4" x14ac:dyDescent="0.3">
      <c r="B129" s="33"/>
      <c r="C129" s="34"/>
      <c r="D129" s="36"/>
    </row>
    <row r="130" spans="2:4" x14ac:dyDescent="0.3">
      <c r="B130" s="33"/>
      <c r="C130" s="34"/>
      <c r="D130" s="36"/>
    </row>
    <row r="131" spans="2:4" x14ac:dyDescent="0.3">
      <c r="B131" s="33"/>
      <c r="C131" s="34"/>
      <c r="D131" s="36"/>
    </row>
    <row r="132" spans="2:4" x14ac:dyDescent="0.3">
      <c r="B132" s="33"/>
      <c r="C132" s="34"/>
      <c r="D132" s="36"/>
    </row>
    <row r="133" spans="2:4" x14ac:dyDescent="0.3">
      <c r="B133" s="33"/>
      <c r="C133" s="34"/>
      <c r="D133" s="36"/>
    </row>
    <row r="134" spans="2:4" x14ac:dyDescent="0.3">
      <c r="B134" s="33"/>
      <c r="C134" s="34"/>
      <c r="D134" s="36"/>
    </row>
    <row r="135" spans="2:4" x14ac:dyDescent="0.3">
      <c r="B135" s="33"/>
      <c r="C135" s="34"/>
      <c r="D135" s="36"/>
    </row>
    <row r="136" spans="2:4" x14ac:dyDescent="0.3">
      <c r="B136" s="33"/>
      <c r="C136" s="34"/>
      <c r="D136" s="36"/>
    </row>
    <row r="137" spans="2:4" x14ac:dyDescent="0.3">
      <c r="B137" s="33"/>
      <c r="C137" s="34"/>
      <c r="D137" s="36"/>
    </row>
    <row r="138" spans="2:4" x14ac:dyDescent="0.3">
      <c r="B138" s="33"/>
      <c r="C138" s="34"/>
      <c r="D138" s="36"/>
    </row>
    <row r="139" spans="2:4" x14ac:dyDescent="0.3">
      <c r="B139" s="33"/>
      <c r="C139" s="34"/>
      <c r="D139" s="36"/>
    </row>
    <row r="140" spans="2:4" x14ac:dyDescent="0.3">
      <c r="B140" s="33"/>
      <c r="C140" s="34"/>
      <c r="D140" s="36"/>
    </row>
    <row r="141" spans="2:4" x14ac:dyDescent="0.3">
      <c r="B141" s="33"/>
      <c r="C141" s="34"/>
      <c r="D141" s="36"/>
    </row>
    <row r="142" spans="2:4" x14ac:dyDescent="0.3">
      <c r="B142" s="33"/>
      <c r="C142" s="34"/>
      <c r="D142" s="36"/>
    </row>
    <row r="143" spans="2:4" x14ac:dyDescent="0.3">
      <c r="B143" s="33"/>
      <c r="C143" s="34"/>
      <c r="D143" s="36"/>
    </row>
    <row r="144" spans="2:4" x14ac:dyDescent="0.3">
      <c r="B144" s="33"/>
      <c r="C144" s="34"/>
      <c r="D144" s="36"/>
    </row>
    <row r="145" spans="2:4" x14ac:dyDescent="0.3">
      <c r="B145" s="33"/>
      <c r="C145" s="34"/>
      <c r="D145" s="36"/>
    </row>
    <row r="146" spans="2:4" x14ac:dyDescent="0.3">
      <c r="B146" s="33"/>
      <c r="C146" s="34"/>
      <c r="D146" s="36"/>
    </row>
    <row r="147" spans="2:4" x14ac:dyDescent="0.3">
      <c r="B147" s="33"/>
      <c r="C147" s="34"/>
      <c r="D147" s="36"/>
    </row>
    <row r="148" spans="2:4" x14ac:dyDescent="0.3">
      <c r="B148" s="33"/>
      <c r="C148" s="34"/>
      <c r="D148" s="36"/>
    </row>
    <row r="149" spans="2:4" x14ac:dyDescent="0.3">
      <c r="B149" s="33"/>
      <c r="C149" s="34"/>
      <c r="D149" s="36"/>
    </row>
    <row r="150" spans="2:4" x14ac:dyDescent="0.3">
      <c r="B150" s="33"/>
      <c r="C150" s="34"/>
      <c r="D150" s="36"/>
    </row>
    <row r="151" spans="2:4" x14ac:dyDescent="0.3">
      <c r="B151" s="33"/>
      <c r="C151" s="34"/>
      <c r="D151" s="36"/>
    </row>
    <row r="152" spans="2:4" x14ac:dyDescent="0.3">
      <c r="B152" s="33"/>
      <c r="C152" s="34"/>
      <c r="D152" s="36"/>
    </row>
    <row r="153" spans="2:4" x14ac:dyDescent="0.3">
      <c r="B153" s="33"/>
      <c r="C153" s="34"/>
      <c r="D153" s="36"/>
    </row>
    <row r="154" spans="2:4" x14ac:dyDescent="0.3">
      <c r="B154" s="33"/>
      <c r="C154" s="34"/>
      <c r="D154" s="36"/>
    </row>
    <row r="155" spans="2:4" x14ac:dyDescent="0.3">
      <c r="B155" s="33"/>
      <c r="C155" s="34"/>
      <c r="D155" s="36"/>
    </row>
    <row r="156" spans="2:4" x14ac:dyDescent="0.3">
      <c r="B156" s="33"/>
      <c r="C156" s="34"/>
      <c r="D156" s="36"/>
    </row>
    <row r="157" spans="2:4" x14ac:dyDescent="0.3">
      <c r="B157" s="33"/>
      <c r="C157" s="34"/>
      <c r="D157" s="36"/>
    </row>
    <row r="158" spans="2:4" x14ac:dyDescent="0.3">
      <c r="B158" s="33"/>
      <c r="C158" s="34"/>
      <c r="D158" s="36"/>
    </row>
    <row r="159" spans="2:4" x14ac:dyDescent="0.3">
      <c r="B159" s="33"/>
      <c r="C159" s="34"/>
      <c r="D159" s="36"/>
    </row>
    <row r="160" spans="2:4" x14ac:dyDescent="0.3">
      <c r="B160" s="33"/>
      <c r="C160" s="34"/>
      <c r="D160" s="36"/>
    </row>
    <row r="161" spans="2:4" x14ac:dyDescent="0.3">
      <c r="B161" s="33"/>
      <c r="C161" s="34"/>
      <c r="D161" s="36"/>
    </row>
    <row r="162" spans="2:4" x14ac:dyDescent="0.3">
      <c r="B162" s="33"/>
      <c r="C162" s="34"/>
      <c r="D162" s="36"/>
    </row>
    <row r="163" spans="2:4" x14ac:dyDescent="0.3">
      <c r="B163" s="33"/>
      <c r="C163" s="34"/>
      <c r="D163" s="36"/>
    </row>
    <row r="164" spans="2:4" x14ac:dyDescent="0.3">
      <c r="B164" s="33"/>
      <c r="C164" s="34"/>
      <c r="D164" s="36"/>
    </row>
    <row r="165" spans="2:4" x14ac:dyDescent="0.3">
      <c r="B165" s="33"/>
      <c r="C165" s="34"/>
      <c r="D165" s="36"/>
    </row>
    <row r="166" spans="2:4" x14ac:dyDescent="0.3">
      <c r="B166" s="33"/>
      <c r="C166" s="34"/>
      <c r="D166" s="36"/>
    </row>
    <row r="167" spans="2:4" x14ac:dyDescent="0.3">
      <c r="B167" s="33"/>
      <c r="C167" s="34"/>
      <c r="D167" s="36"/>
    </row>
    <row r="168" spans="2:4" x14ac:dyDescent="0.3">
      <c r="B168" s="33"/>
      <c r="C168" s="34"/>
      <c r="D168" s="36"/>
    </row>
    <row r="169" spans="2:4" x14ac:dyDescent="0.3">
      <c r="B169" s="33"/>
      <c r="C169" s="34"/>
      <c r="D169" s="36"/>
    </row>
    <row r="170" spans="2:4" x14ac:dyDescent="0.3">
      <c r="B170" s="33"/>
      <c r="C170" s="34"/>
      <c r="D170" s="36"/>
    </row>
    <row r="171" spans="2:4" x14ac:dyDescent="0.3">
      <c r="B171" s="33"/>
      <c r="C171" s="34"/>
      <c r="D171" s="36"/>
    </row>
    <row r="172" spans="2:4" x14ac:dyDescent="0.3">
      <c r="B172" s="33"/>
      <c r="C172" s="34"/>
      <c r="D172" s="36"/>
    </row>
    <row r="173" spans="2:4" x14ac:dyDescent="0.3">
      <c r="B173" s="33"/>
      <c r="C173" s="34"/>
      <c r="D173" s="36"/>
    </row>
    <row r="174" spans="2:4" x14ac:dyDescent="0.3">
      <c r="B174" s="33"/>
      <c r="C174" s="34"/>
      <c r="D174" s="36"/>
    </row>
    <row r="175" spans="2:4" x14ac:dyDescent="0.3">
      <c r="B175" s="33"/>
      <c r="C175" s="34"/>
      <c r="D175" s="36"/>
    </row>
    <row r="176" spans="2:4" x14ac:dyDescent="0.3">
      <c r="B176" s="33"/>
      <c r="C176" s="34"/>
      <c r="D176" s="36"/>
    </row>
    <row r="177" spans="2:4" x14ac:dyDescent="0.3">
      <c r="B177" s="33"/>
      <c r="C177" s="34"/>
      <c r="D177" s="36"/>
    </row>
    <row r="178" spans="2:4" x14ac:dyDescent="0.3">
      <c r="B178" s="33"/>
      <c r="C178" s="34"/>
      <c r="D178" s="36"/>
    </row>
    <row r="179" spans="2:4" x14ac:dyDescent="0.3">
      <c r="B179" s="33"/>
      <c r="C179" s="34"/>
      <c r="D179" s="36"/>
    </row>
    <row r="180" spans="2:4" x14ac:dyDescent="0.3">
      <c r="B180" s="33"/>
      <c r="C180" s="34"/>
      <c r="D180" s="36"/>
    </row>
    <row r="181" spans="2:4" x14ac:dyDescent="0.3">
      <c r="B181" s="33"/>
      <c r="C181" s="34"/>
      <c r="D181" s="36"/>
    </row>
    <row r="182" spans="2:4" x14ac:dyDescent="0.3">
      <c r="B182" s="33"/>
      <c r="C182" s="34"/>
      <c r="D182" s="36"/>
    </row>
    <row r="183" spans="2:4" x14ac:dyDescent="0.3">
      <c r="B183" s="33"/>
      <c r="C183" s="34"/>
      <c r="D183" s="36"/>
    </row>
    <row r="184" spans="2:4" x14ac:dyDescent="0.3">
      <c r="B184" s="33"/>
      <c r="C184" s="34"/>
      <c r="D184" s="36"/>
    </row>
    <row r="185" spans="2:4" x14ac:dyDescent="0.3">
      <c r="B185" s="33"/>
      <c r="C185" s="34"/>
      <c r="D185" s="36"/>
    </row>
    <row r="186" spans="2:4" x14ac:dyDescent="0.3">
      <c r="B186" s="33"/>
      <c r="C186" s="34"/>
      <c r="D186" s="36"/>
    </row>
    <row r="187" spans="2:4" x14ac:dyDescent="0.3">
      <c r="B187" s="33"/>
      <c r="C187" s="34"/>
      <c r="D187" s="36"/>
    </row>
    <row r="188" spans="2:4" x14ac:dyDescent="0.3">
      <c r="B188" s="33"/>
      <c r="C188" s="34"/>
      <c r="D188" s="36"/>
    </row>
    <row r="189" spans="2:4" x14ac:dyDescent="0.3">
      <c r="B189" s="33"/>
      <c r="C189" s="34"/>
      <c r="D189" s="36"/>
    </row>
    <row r="190" spans="2:4" x14ac:dyDescent="0.3">
      <c r="B190" s="33"/>
      <c r="C190" s="34"/>
      <c r="D190" s="36"/>
    </row>
    <row r="191" spans="2:4" x14ac:dyDescent="0.3">
      <c r="B191" s="33"/>
      <c r="C191" s="34"/>
      <c r="D191" s="36"/>
    </row>
    <row r="192" spans="2:4" x14ac:dyDescent="0.3">
      <c r="B192" s="33"/>
      <c r="C192" s="34"/>
      <c r="D192" s="36"/>
    </row>
    <row r="193" spans="2:4" x14ac:dyDescent="0.3">
      <c r="B193" s="33"/>
      <c r="C193" s="34"/>
      <c r="D193" s="36"/>
    </row>
    <row r="194" spans="2:4" x14ac:dyDescent="0.3">
      <c r="B194" s="33"/>
      <c r="C194" s="34"/>
      <c r="D194" s="36"/>
    </row>
    <row r="195" spans="2:4" x14ac:dyDescent="0.3">
      <c r="B195" s="33"/>
      <c r="C195" s="34"/>
      <c r="D195" s="36"/>
    </row>
    <row r="196" spans="2:4" x14ac:dyDescent="0.3">
      <c r="B196" s="33"/>
      <c r="C196" s="34"/>
      <c r="D196" s="36"/>
    </row>
    <row r="197" spans="2:4" x14ac:dyDescent="0.3">
      <c r="B197" s="33"/>
      <c r="C197" s="34"/>
      <c r="D197" s="36"/>
    </row>
    <row r="198" spans="2:4" x14ac:dyDescent="0.3">
      <c r="B198" s="33"/>
      <c r="C198" s="34"/>
      <c r="D198" s="36"/>
    </row>
    <row r="199" spans="2:4" x14ac:dyDescent="0.3">
      <c r="B199" s="33"/>
      <c r="C199" s="34"/>
      <c r="D199" s="36"/>
    </row>
    <row r="200" spans="2:4" x14ac:dyDescent="0.3">
      <c r="B200" s="33"/>
      <c r="C200" s="34"/>
      <c r="D200" s="3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E9FA1-00B4-42B4-9B1A-D2629A87CEA3}">
  <dimension ref="A1:F200"/>
  <sheetViews>
    <sheetView workbookViewId="0">
      <selection activeCell="I7" sqref="I7"/>
    </sheetView>
  </sheetViews>
  <sheetFormatPr defaultRowHeight="14" x14ac:dyDescent="0.3"/>
  <cols>
    <col min="1" max="1" width="9.83203125" style="37" customWidth="1"/>
    <col min="2" max="2" width="35.33203125" style="38" bestFit="1" customWidth="1"/>
    <col min="3" max="3" width="8.75" style="38" customWidth="1"/>
    <col min="4" max="4" width="45.83203125" style="38" customWidth="1"/>
    <col min="5" max="5" width="10.4140625" style="38" customWidth="1"/>
    <col min="6" max="6" width="11.08203125" style="38" customWidth="1"/>
  </cols>
  <sheetData>
    <row r="1" spans="1:6" x14ac:dyDescent="0.3">
      <c r="A1" s="42" t="s">
        <v>8</v>
      </c>
      <c r="B1" s="43" t="s">
        <v>39</v>
      </c>
      <c r="C1" s="43" t="s">
        <v>40</v>
      </c>
      <c r="D1" s="43" t="s">
        <v>41</v>
      </c>
      <c r="E1" s="43" t="s">
        <v>42</v>
      </c>
      <c r="F1" s="43" t="s">
        <v>43</v>
      </c>
    </row>
    <row r="2" spans="1:6" x14ac:dyDescent="0.3">
      <c r="A2" s="40" t="s">
        <v>38</v>
      </c>
      <c r="B2" s="41" t="s">
        <v>44</v>
      </c>
      <c r="C2" s="41"/>
      <c r="D2" s="41" t="s">
        <v>45</v>
      </c>
      <c r="E2" s="78" t="s">
        <v>54</v>
      </c>
      <c r="F2" s="44" t="s">
        <v>46</v>
      </c>
    </row>
    <row r="3" spans="1:6" x14ac:dyDescent="0.3">
      <c r="A3" s="33"/>
      <c r="B3" s="34"/>
      <c r="C3" s="34"/>
      <c r="D3" s="34"/>
      <c r="E3" s="34"/>
      <c r="F3" s="34"/>
    </row>
    <row r="4" spans="1:6" x14ac:dyDescent="0.3">
      <c r="A4" s="33"/>
      <c r="B4" s="34"/>
      <c r="C4" s="34"/>
      <c r="D4" s="34"/>
      <c r="E4" s="34"/>
      <c r="F4" s="34"/>
    </row>
    <row r="5" spans="1:6" x14ac:dyDescent="0.3">
      <c r="A5" s="33"/>
      <c r="B5" s="34"/>
      <c r="C5" s="34"/>
      <c r="D5" s="34"/>
      <c r="E5" s="34"/>
      <c r="F5" s="34"/>
    </row>
    <row r="6" spans="1:6" x14ac:dyDescent="0.3">
      <c r="A6" s="33"/>
      <c r="B6" s="34"/>
      <c r="C6" s="34"/>
      <c r="D6" s="34"/>
      <c r="E6" s="34"/>
      <c r="F6" s="34"/>
    </row>
    <row r="7" spans="1:6" x14ac:dyDescent="0.3">
      <c r="A7" s="33"/>
      <c r="B7" s="34"/>
      <c r="C7" s="34"/>
      <c r="D7" s="34"/>
      <c r="E7" s="34"/>
      <c r="F7" s="34"/>
    </row>
    <row r="8" spans="1:6" x14ac:dyDescent="0.3">
      <c r="A8" s="33"/>
      <c r="B8" s="34"/>
      <c r="C8" s="34"/>
      <c r="D8" s="34"/>
      <c r="E8" s="34"/>
      <c r="F8" s="34"/>
    </row>
    <row r="9" spans="1:6" x14ac:dyDescent="0.3">
      <c r="A9" s="33"/>
      <c r="B9" s="34"/>
      <c r="C9" s="34"/>
      <c r="D9" s="34"/>
      <c r="E9" s="34"/>
      <c r="F9" s="34"/>
    </row>
    <row r="10" spans="1:6" x14ac:dyDescent="0.3">
      <c r="A10" s="33"/>
      <c r="B10" s="34"/>
      <c r="C10" s="34"/>
      <c r="D10" s="34"/>
      <c r="E10" s="34"/>
      <c r="F10" s="34"/>
    </row>
    <row r="11" spans="1:6" x14ac:dyDescent="0.3">
      <c r="A11" s="33"/>
      <c r="B11" s="34"/>
      <c r="C11" s="34"/>
      <c r="D11" s="34"/>
      <c r="E11" s="34"/>
      <c r="F11" s="34"/>
    </row>
    <row r="12" spans="1:6" x14ac:dyDescent="0.3">
      <c r="A12" s="33"/>
      <c r="B12" s="34"/>
      <c r="C12" s="34"/>
      <c r="D12" s="34"/>
      <c r="E12" s="34"/>
      <c r="F12" s="34"/>
    </row>
    <row r="13" spans="1:6" x14ac:dyDescent="0.3">
      <c r="A13" s="33"/>
      <c r="B13" s="34"/>
      <c r="C13" s="34"/>
      <c r="D13" s="34"/>
      <c r="E13" s="34"/>
      <c r="F13" s="34"/>
    </row>
    <row r="14" spans="1:6" x14ac:dyDescent="0.3">
      <c r="A14" s="33"/>
      <c r="B14" s="34"/>
      <c r="C14" s="34"/>
      <c r="D14" s="34"/>
      <c r="E14" s="34"/>
      <c r="F14" s="34"/>
    </row>
    <row r="15" spans="1:6" x14ac:dyDescent="0.3">
      <c r="A15" s="33"/>
      <c r="B15" s="34"/>
      <c r="C15" s="34"/>
      <c r="D15" s="34"/>
      <c r="E15" s="34"/>
      <c r="F15" s="34"/>
    </row>
    <row r="16" spans="1:6" x14ac:dyDescent="0.3">
      <c r="A16" s="33"/>
      <c r="B16" s="34"/>
      <c r="C16" s="34"/>
      <c r="D16" s="34"/>
      <c r="E16" s="34"/>
      <c r="F16" s="34"/>
    </row>
    <row r="17" spans="1:6" x14ac:dyDescent="0.3">
      <c r="A17" s="33"/>
      <c r="B17" s="34"/>
      <c r="C17" s="34"/>
      <c r="D17" s="34"/>
      <c r="E17" s="34"/>
      <c r="F17" s="34"/>
    </row>
    <row r="18" spans="1:6" x14ac:dyDescent="0.3">
      <c r="A18" s="33"/>
      <c r="B18" s="34"/>
      <c r="C18" s="34"/>
      <c r="D18" s="34"/>
      <c r="E18" s="34"/>
      <c r="F18" s="34"/>
    </row>
    <row r="19" spans="1:6" x14ac:dyDescent="0.3">
      <c r="A19" s="33"/>
      <c r="B19" s="34"/>
      <c r="C19" s="34"/>
      <c r="D19" s="34"/>
      <c r="E19" s="34"/>
      <c r="F19" s="34"/>
    </row>
    <row r="20" spans="1:6" x14ac:dyDescent="0.3">
      <c r="A20" s="33"/>
      <c r="B20" s="34"/>
      <c r="C20" s="34"/>
      <c r="D20" s="34"/>
      <c r="E20" s="34"/>
      <c r="F20" s="34"/>
    </row>
    <row r="21" spans="1:6" x14ac:dyDescent="0.3">
      <c r="A21" s="33"/>
      <c r="B21" s="34"/>
      <c r="C21" s="34"/>
      <c r="D21" s="34"/>
      <c r="E21" s="34"/>
      <c r="F21" s="34"/>
    </row>
    <row r="22" spans="1:6" x14ac:dyDescent="0.3">
      <c r="A22" s="33"/>
      <c r="B22" s="34"/>
      <c r="C22" s="34"/>
      <c r="D22" s="34"/>
      <c r="E22" s="34"/>
      <c r="F22" s="34"/>
    </row>
    <row r="23" spans="1:6" x14ac:dyDescent="0.3">
      <c r="A23" s="33"/>
      <c r="B23" s="34"/>
      <c r="C23" s="34"/>
      <c r="D23" s="34"/>
      <c r="E23" s="34"/>
      <c r="F23" s="34"/>
    </row>
    <row r="24" spans="1:6" x14ac:dyDescent="0.3">
      <c r="A24" s="33"/>
      <c r="B24" s="34"/>
      <c r="C24" s="34"/>
      <c r="D24" s="34"/>
      <c r="E24" s="34"/>
      <c r="F24" s="34"/>
    </row>
    <row r="25" spans="1:6" x14ac:dyDescent="0.3">
      <c r="A25" s="33"/>
      <c r="B25" s="34"/>
      <c r="C25" s="34"/>
      <c r="D25" s="34"/>
      <c r="E25" s="34"/>
      <c r="F25" s="34"/>
    </row>
    <row r="26" spans="1:6" x14ac:dyDescent="0.3">
      <c r="A26" s="33"/>
      <c r="B26" s="34"/>
      <c r="C26" s="34"/>
      <c r="D26" s="34"/>
      <c r="E26" s="34"/>
      <c r="F26" s="34"/>
    </row>
    <row r="27" spans="1:6" x14ac:dyDescent="0.3">
      <c r="A27" s="33"/>
      <c r="B27" s="34"/>
      <c r="C27" s="34"/>
      <c r="D27" s="34"/>
      <c r="E27" s="34"/>
      <c r="F27" s="34"/>
    </row>
    <row r="28" spans="1:6" x14ac:dyDescent="0.3">
      <c r="A28" s="33"/>
      <c r="B28" s="34"/>
      <c r="C28" s="34"/>
      <c r="D28" s="34"/>
      <c r="E28" s="34"/>
      <c r="F28" s="34"/>
    </row>
    <row r="29" spans="1:6" x14ac:dyDescent="0.3">
      <c r="A29" s="33"/>
      <c r="B29" s="34"/>
      <c r="C29" s="34"/>
      <c r="D29" s="34"/>
      <c r="E29" s="34"/>
      <c r="F29" s="34"/>
    </row>
    <row r="30" spans="1:6" x14ac:dyDescent="0.3">
      <c r="A30" s="33"/>
      <c r="B30" s="34"/>
      <c r="C30" s="34"/>
      <c r="D30" s="34"/>
      <c r="E30" s="34"/>
      <c r="F30" s="34"/>
    </row>
    <row r="31" spans="1:6" x14ac:dyDescent="0.3">
      <c r="A31" s="33"/>
      <c r="B31" s="34"/>
      <c r="C31" s="34"/>
      <c r="D31" s="34"/>
      <c r="E31" s="34"/>
      <c r="F31" s="34"/>
    </row>
    <row r="32" spans="1:6" x14ac:dyDescent="0.3">
      <c r="A32" s="33"/>
      <c r="B32" s="34"/>
      <c r="C32" s="34"/>
      <c r="D32" s="34"/>
      <c r="E32" s="34"/>
      <c r="F32" s="34"/>
    </row>
    <row r="33" spans="1:6" x14ac:dyDescent="0.3">
      <c r="A33" s="33"/>
      <c r="B33" s="34"/>
      <c r="C33" s="34"/>
      <c r="D33" s="34"/>
      <c r="E33" s="34"/>
      <c r="F33" s="34"/>
    </row>
    <row r="34" spans="1:6" x14ac:dyDescent="0.3">
      <c r="A34" s="33"/>
      <c r="B34" s="34"/>
      <c r="C34" s="34"/>
      <c r="D34" s="34"/>
      <c r="E34" s="34"/>
      <c r="F34" s="34"/>
    </row>
    <row r="35" spans="1:6" x14ac:dyDescent="0.3">
      <c r="A35" s="33"/>
      <c r="B35" s="34"/>
      <c r="C35" s="34"/>
      <c r="D35" s="34"/>
      <c r="E35" s="34"/>
      <c r="F35" s="34"/>
    </row>
    <row r="36" spans="1:6" x14ac:dyDescent="0.3">
      <c r="A36" s="33"/>
      <c r="B36" s="34"/>
      <c r="C36" s="34"/>
      <c r="D36" s="34"/>
      <c r="E36" s="34"/>
      <c r="F36" s="34"/>
    </row>
    <row r="37" spans="1:6" x14ac:dyDescent="0.3">
      <c r="A37" s="33"/>
      <c r="B37" s="34"/>
      <c r="C37" s="34"/>
      <c r="D37" s="34"/>
      <c r="E37" s="34"/>
      <c r="F37" s="34"/>
    </row>
    <row r="38" spans="1:6" x14ac:dyDescent="0.3">
      <c r="A38" s="33"/>
      <c r="B38" s="34"/>
      <c r="C38" s="34"/>
      <c r="D38" s="34"/>
      <c r="E38" s="34"/>
      <c r="F38" s="34"/>
    </row>
    <row r="39" spans="1:6" x14ac:dyDescent="0.3">
      <c r="A39" s="33"/>
      <c r="B39" s="34"/>
      <c r="C39" s="34"/>
      <c r="D39" s="34"/>
      <c r="E39" s="34"/>
      <c r="F39" s="34"/>
    </row>
    <row r="40" spans="1:6" x14ac:dyDescent="0.3">
      <c r="A40" s="33"/>
      <c r="B40" s="34"/>
      <c r="C40" s="34"/>
      <c r="D40" s="34"/>
      <c r="E40" s="34"/>
      <c r="F40" s="34"/>
    </row>
    <row r="41" spans="1:6" x14ac:dyDescent="0.3">
      <c r="A41" s="33"/>
      <c r="B41" s="34"/>
      <c r="C41" s="34"/>
      <c r="D41" s="34"/>
      <c r="E41" s="34"/>
      <c r="F41" s="34"/>
    </row>
    <row r="42" spans="1:6" x14ac:dyDescent="0.3">
      <c r="A42" s="33"/>
      <c r="B42" s="34"/>
      <c r="C42" s="34"/>
      <c r="D42" s="34"/>
      <c r="E42" s="34"/>
      <c r="F42" s="34"/>
    </row>
    <row r="43" spans="1:6" x14ac:dyDescent="0.3">
      <c r="A43" s="33"/>
      <c r="B43" s="34"/>
      <c r="C43" s="34"/>
      <c r="D43" s="34"/>
      <c r="E43" s="34"/>
      <c r="F43" s="34"/>
    </row>
    <row r="44" spans="1:6" x14ac:dyDescent="0.3">
      <c r="A44" s="33"/>
      <c r="B44" s="34"/>
      <c r="C44" s="34"/>
      <c r="D44" s="34"/>
      <c r="E44" s="34"/>
      <c r="F44" s="34"/>
    </row>
    <row r="45" spans="1:6" x14ac:dyDescent="0.3">
      <c r="A45" s="33"/>
      <c r="B45" s="34"/>
      <c r="C45" s="34"/>
      <c r="D45" s="34"/>
      <c r="E45" s="34"/>
      <c r="F45" s="34"/>
    </row>
    <row r="46" spans="1:6" x14ac:dyDescent="0.3">
      <c r="A46" s="33"/>
      <c r="B46" s="34"/>
      <c r="C46" s="34"/>
      <c r="D46" s="34"/>
      <c r="E46" s="34"/>
      <c r="F46" s="34"/>
    </row>
    <row r="47" spans="1:6" x14ac:dyDescent="0.3">
      <c r="A47" s="33"/>
      <c r="B47" s="34"/>
      <c r="C47" s="34"/>
      <c r="D47" s="34"/>
      <c r="E47" s="34"/>
      <c r="F47" s="34"/>
    </row>
    <row r="48" spans="1:6" x14ac:dyDescent="0.3">
      <c r="A48" s="33"/>
      <c r="B48" s="34"/>
      <c r="C48" s="34"/>
      <c r="D48" s="34"/>
      <c r="E48" s="34"/>
      <c r="F48" s="34"/>
    </row>
    <row r="49" spans="1:6" x14ac:dyDescent="0.3">
      <c r="A49" s="33"/>
      <c r="B49" s="34"/>
      <c r="C49" s="34"/>
      <c r="D49" s="34"/>
      <c r="E49" s="34"/>
      <c r="F49" s="34"/>
    </row>
    <row r="50" spans="1:6" x14ac:dyDescent="0.3">
      <c r="A50" s="33"/>
      <c r="B50" s="34"/>
      <c r="C50" s="34"/>
      <c r="D50" s="34"/>
      <c r="E50" s="34"/>
      <c r="F50" s="34"/>
    </row>
    <row r="51" spans="1:6" x14ac:dyDescent="0.3">
      <c r="A51" s="33"/>
      <c r="B51" s="34"/>
      <c r="C51" s="34"/>
      <c r="D51" s="34"/>
      <c r="E51" s="34"/>
      <c r="F51" s="34"/>
    </row>
    <row r="52" spans="1:6" x14ac:dyDescent="0.3">
      <c r="A52" s="33"/>
      <c r="B52" s="34"/>
      <c r="C52" s="34"/>
      <c r="D52" s="34"/>
      <c r="E52" s="34"/>
      <c r="F52" s="34"/>
    </row>
    <row r="53" spans="1:6" x14ac:dyDescent="0.3">
      <c r="A53" s="33"/>
      <c r="B53" s="34"/>
      <c r="C53" s="34"/>
      <c r="D53" s="34"/>
      <c r="E53" s="34"/>
      <c r="F53" s="34"/>
    </row>
    <row r="54" spans="1:6" x14ac:dyDescent="0.3">
      <c r="A54" s="33"/>
      <c r="B54" s="34"/>
      <c r="C54" s="34"/>
      <c r="D54" s="34"/>
      <c r="E54" s="34"/>
      <c r="F54" s="34"/>
    </row>
    <row r="55" spans="1:6" x14ac:dyDescent="0.3">
      <c r="A55" s="33"/>
      <c r="B55" s="34"/>
      <c r="C55" s="34"/>
      <c r="D55" s="34"/>
      <c r="E55" s="34"/>
      <c r="F55" s="34"/>
    </row>
    <row r="56" spans="1:6" x14ac:dyDescent="0.3">
      <c r="A56" s="33"/>
      <c r="B56" s="34"/>
      <c r="C56" s="34"/>
      <c r="D56" s="34"/>
      <c r="E56" s="34"/>
      <c r="F56" s="34"/>
    </row>
    <row r="57" spans="1:6" x14ac:dyDescent="0.3">
      <c r="A57" s="33"/>
      <c r="B57" s="34"/>
      <c r="C57" s="34"/>
      <c r="D57" s="34"/>
      <c r="E57" s="34"/>
      <c r="F57" s="34"/>
    </row>
    <row r="58" spans="1:6" x14ac:dyDescent="0.3">
      <c r="A58" s="33"/>
      <c r="B58" s="34"/>
      <c r="C58" s="34"/>
      <c r="D58" s="34"/>
      <c r="E58" s="34"/>
      <c r="F58" s="34"/>
    </row>
    <row r="59" spans="1:6" x14ac:dyDescent="0.3">
      <c r="A59" s="33"/>
      <c r="B59" s="34"/>
      <c r="C59" s="34"/>
      <c r="D59" s="34"/>
      <c r="E59" s="34"/>
      <c r="F59" s="34"/>
    </row>
    <row r="60" spans="1:6" x14ac:dyDescent="0.3">
      <c r="A60" s="33"/>
      <c r="B60" s="34"/>
      <c r="C60" s="34"/>
      <c r="D60" s="34"/>
      <c r="E60" s="34"/>
      <c r="F60" s="34"/>
    </row>
    <row r="61" spans="1:6" x14ac:dyDescent="0.3">
      <c r="A61" s="33"/>
      <c r="B61" s="34"/>
      <c r="C61" s="34"/>
      <c r="D61" s="34"/>
      <c r="E61" s="34"/>
      <c r="F61" s="34"/>
    </row>
    <row r="62" spans="1:6" x14ac:dyDescent="0.3">
      <c r="A62" s="33"/>
      <c r="B62" s="34"/>
      <c r="C62" s="34"/>
      <c r="D62" s="34"/>
      <c r="E62" s="34"/>
      <c r="F62" s="34"/>
    </row>
    <row r="63" spans="1:6" x14ac:dyDescent="0.3">
      <c r="A63" s="33"/>
      <c r="B63" s="34"/>
      <c r="C63" s="34"/>
      <c r="D63" s="34"/>
      <c r="E63" s="34"/>
      <c r="F63" s="34"/>
    </row>
    <row r="64" spans="1:6" x14ac:dyDescent="0.3">
      <c r="A64" s="33"/>
      <c r="B64" s="34"/>
      <c r="C64" s="34"/>
      <c r="D64" s="34"/>
      <c r="E64" s="34"/>
      <c r="F64" s="34"/>
    </row>
    <row r="65" spans="1:6" x14ac:dyDescent="0.3">
      <c r="A65" s="33"/>
      <c r="B65" s="34"/>
      <c r="C65" s="34"/>
      <c r="D65" s="34"/>
      <c r="E65" s="34"/>
      <c r="F65" s="34"/>
    </row>
    <row r="66" spans="1:6" x14ac:dyDescent="0.3">
      <c r="A66" s="33"/>
      <c r="B66" s="34"/>
      <c r="C66" s="34"/>
      <c r="D66" s="34"/>
      <c r="E66" s="34"/>
      <c r="F66" s="34"/>
    </row>
    <row r="67" spans="1:6" x14ac:dyDescent="0.3">
      <c r="A67" s="33"/>
      <c r="B67" s="34"/>
      <c r="C67" s="34"/>
      <c r="D67" s="34"/>
      <c r="E67" s="34"/>
      <c r="F67" s="34"/>
    </row>
    <row r="68" spans="1:6" x14ac:dyDescent="0.3">
      <c r="A68" s="33"/>
      <c r="B68" s="34"/>
      <c r="C68" s="34"/>
      <c r="D68" s="34"/>
      <c r="E68" s="34"/>
      <c r="F68" s="34"/>
    </row>
    <row r="69" spans="1:6" x14ac:dyDescent="0.3">
      <c r="A69" s="33"/>
      <c r="B69" s="34"/>
      <c r="C69" s="34"/>
      <c r="D69" s="34"/>
      <c r="E69" s="34"/>
      <c r="F69" s="34"/>
    </row>
    <row r="70" spans="1:6" x14ac:dyDescent="0.3">
      <c r="A70" s="33"/>
      <c r="B70" s="34"/>
      <c r="C70" s="34"/>
      <c r="D70" s="34"/>
      <c r="E70" s="34"/>
      <c r="F70" s="34"/>
    </row>
    <row r="71" spans="1:6" x14ac:dyDescent="0.3">
      <c r="A71" s="33"/>
      <c r="B71" s="34"/>
      <c r="C71" s="34"/>
      <c r="D71" s="34"/>
      <c r="E71" s="34"/>
      <c r="F71" s="34"/>
    </row>
    <row r="72" spans="1:6" x14ac:dyDescent="0.3">
      <c r="A72" s="33"/>
      <c r="B72" s="34"/>
      <c r="C72" s="34"/>
      <c r="D72" s="34"/>
      <c r="E72" s="34"/>
      <c r="F72" s="34"/>
    </row>
    <row r="73" spans="1:6" x14ac:dyDescent="0.3">
      <c r="A73" s="33"/>
      <c r="B73" s="34"/>
      <c r="C73" s="34"/>
      <c r="D73" s="34"/>
      <c r="E73" s="34"/>
      <c r="F73" s="34"/>
    </row>
    <row r="74" spans="1:6" x14ac:dyDescent="0.3">
      <c r="A74" s="33"/>
      <c r="B74" s="34"/>
      <c r="C74" s="34"/>
      <c r="D74" s="34"/>
      <c r="E74" s="34"/>
      <c r="F74" s="34"/>
    </row>
    <row r="75" spans="1:6" x14ac:dyDescent="0.3">
      <c r="A75" s="33"/>
      <c r="B75" s="34"/>
      <c r="C75" s="34"/>
      <c r="D75" s="34"/>
      <c r="E75" s="34"/>
      <c r="F75" s="34"/>
    </row>
    <row r="76" spans="1:6" x14ac:dyDescent="0.3">
      <c r="A76" s="33"/>
      <c r="B76" s="34"/>
      <c r="C76" s="34"/>
      <c r="D76" s="34"/>
      <c r="E76" s="34"/>
      <c r="F76" s="34"/>
    </row>
    <row r="77" spans="1:6" x14ac:dyDescent="0.3">
      <c r="A77" s="33"/>
      <c r="B77" s="34"/>
      <c r="C77" s="34"/>
      <c r="D77" s="34"/>
      <c r="E77" s="34"/>
      <c r="F77" s="34"/>
    </row>
    <row r="78" spans="1:6" x14ac:dyDescent="0.3">
      <c r="A78" s="33"/>
      <c r="B78" s="34"/>
      <c r="C78" s="34"/>
      <c r="D78" s="34"/>
      <c r="E78" s="34"/>
      <c r="F78" s="34"/>
    </row>
    <row r="79" spans="1:6" x14ac:dyDescent="0.3">
      <c r="A79" s="33"/>
      <c r="B79" s="34"/>
      <c r="C79" s="34"/>
      <c r="D79" s="34"/>
      <c r="E79" s="34"/>
      <c r="F79" s="34"/>
    </row>
    <row r="80" spans="1:6" x14ac:dyDescent="0.3">
      <c r="A80" s="33"/>
      <c r="B80" s="34"/>
      <c r="C80" s="34"/>
      <c r="D80" s="34"/>
      <c r="E80" s="34"/>
      <c r="F80" s="34"/>
    </row>
    <row r="81" spans="1:6" x14ac:dyDescent="0.3">
      <c r="A81" s="33"/>
      <c r="B81" s="34"/>
      <c r="C81" s="34"/>
      <c r="D81" s="34"/>
      <c r="E81" s="34"/>
      <c r="F81" s="34"/>
    </row>
    <row r="82" spans="1:6" x14ac:dyDescent="0.3">
      <c r="A82" s="33"/>
      <c r="B82" s="34"/>
      <c r="C82" s="34"/>
      <c r="D82" s="34"/>
      <c r="E82" s="34"/>
      <c r="F82" s="34"/>
    </row>
    <row r="83" spans="1:6" x14ac:dyDescent="0.3">
      <c r="A83" s="33"/>
      <c r="B83" s="34"/>
      <c r="C83" s="34"/>
      <c r="D83" s="34"/>
      <c r="E83" s="34"/>
      <c r="F83" s="34"/>
    </row>
    <row r="84" spans="1:6" x14ac:dyDescent="0.3">
      <c r="A84" s="33"/>
      <c r="B84" s="34"/>
      <c r="C84" s="34"/>
      <c r="D84" s="34"/>
      <c r="E84" s="34"/>
      <c r="F84" s="34"/>
    </row>
    <row r="85" spans="1:6" x14ac:dyDescent="0.3">
      <c r="A85" s="33"/>
      <c r="B85" s="34"/>
      <c r="C85" s="34"/>
      <c r="D85" s="34"/>
      <c r="E85" s="34"/>
      <c r="F85" s="34"/>
    </row>
    <row r="86" spans="1:6" x14ac:dyDescent="0.3">
      <c r="A86" s="33"/>
      <c r="B86" s="34"/>
      <c r="C86" s="34"/>
      <c r="D86" s="34"/>
      <c r="E86" s="34"/>
      <c r="F86" s="34"/>
    </row>
    <row r="87" spans="1:6" x14ac:dyDescent="0.3">
      <c r="A87" s="33"/>
      <c r="B87" s="34"/>
      <c r="C87" s="34"/>
      <c r="D87" s="34"/>
      <c r="E87" s="34"/>
      <c r="F87" s="34"/>
    </row>
    <row r="88" spans="1:6" x14ac:dyDescent="0.3">
      <c r="A88" s="33"/>
      <c r="B88" s="34"/>
      <c r="C88" s="34"/>
      <c r="D88" s="34"/>
      <c r="E88" s="34"/>
      <c r="F88" s="34"/>
    </row>
    <row r="89" spans="1:6" x14ac:dyDescent="0.3">
      <c r="A89" s="33"/>
      <c r="B89" s="34"/>
      <c r="C89" s="34"/>
      <c r="D89" s="34"/>
      <c r="E89" s="34"/>
      <c r="F89" s="34"/>
    </row>
    <row r="90" spans="1:6" x14ac:dyDescent="0.3">
      <c r="A90" s="33"/>
      <c r="B90" s="34"/>
      <c r="C90" s="34"/>
      <c r="D90" s="34"/>
      <c r="E90" s="34"/>
      <c r="F90" s="34"/>
    </row>
    <row r="91" spans="1:6" x14ac:dyDescent="0.3">
      <c r="A91" s="33"/>
      <c r="B91" s="34"/>
      <c r="C91" s="34"/>
      <c r="D91" s="34"/>
      <c r="E91" s="34"/>
      <c r="F91" s="34"/>
    </row>
    <row r="92" spans="1:6" x14ac:dyDescent="0.3">
      <c r="A92" s="33"/>
      <c r="B92" s="34"/>
      <c r="C92" s="34"/>
      <c r="D92" s="34"/>
      <c r="E92" s="34"/>
      <c r="F92" s="34"/>
    </row>
    <row r="93" spans="1:6" x14ac:dyDescent="0.3">
      <c r="A93" s="33"/>
      <c r="B93" s="34"/>
      <c r="C93" s="34"/>
      <c r="D93" s="34"/>
      <c r="E93" s="34"/>
      <c r="F93" s="34"/>
    </row>
    <row r="94" spans="1:6" x14ac:dyDescent="0.3">
      <c r="A94" s="33"/>
      <c r="B94" s="34"/>
      <c r="C94" s="34"/>
      <c r="D94" s="34"/>
      <c r="E94" s="34"/>
      <c r="F94" s="34"/>
    </row>
    <row r="95" spans="1:6" x14ac:dyDescent="0.3">
      <c r="A95" s="33"/>
      <c r="B95" s="34"/>
      <c r="C95" s="34"/>
      <c r="D95" s="34"/>
      <c r="E95" s="34"/>
      <c r="F95" s="34"/>
    </row>
    <row r="96" spans="1:6" x14ac:dyDescent="0.3">
      <c r="A96" s="33"/>
      <c r="B96" s="34"/>
      <c r="C96" s="34"/>
      <c r="D96" s="34"/>
      <c r="E96" s="34"/>
      <c r="F96" s="34"/>
    </row>
    <row r="97" spans="1:6" x14ac:dyDescent="0.3">
      <c r="A97" s="33"/>
      <c r="B97" s="34"/>
      <c r="C97" s="34"/>
      <c r="D97" s="34"/>
      <c r="E97" s="34"/>
      <c r="F97" s="34"/>
    </row>
    <row r="98" spans="1:6" x14ac:dyDescent="0.3">
      <c r="A98" s="33"/>
      <c r="B98" s="34"/>
      <c r="C98" s="34"/>
      <c r="D98" s="34"/>
      <c r="E98" s="34"/>
      <c r="F98" s="34"/>
    </row>
    <row r="99" spans="1:6" x14ac:dyDescent="0.3">
      <c r="A99" s="33"/>
      <c r="B99" s="34"/>
      <c r="C99" s="34"/>
      <c r="D99" s="34"/>
      <c r="E99" s="34"/>
      <c r="F99" s="34"/>
    </row>
    <row r="100" spans="1:6" x14ac:dyDescent="0.3">
      <c r="A100" s="33"/>
      <c r="B100" s="34"/>
      <c r="C100" s="34"/>
      <c r="D100" s="34"/>
      <c r="E100" s="34"/>
      <c r="F100" s="34"/>
    </row>
    <row r="101" spans="1:6" x14ac:dyDescent="0.3">
      <c r="A101" s="33"/>
      <c r="B101" s="34"/>
      <c r="C101" s="34"/>
      <c r="D101" s="34"/>
      <c r="E101" s="34"/>
      <c r="F101" s="34"/>
    </row>
    <row r="102" spans="1:6" x14ac:dyDescent="0.3">
      <c r="A102" s="33"/>
      <c r="B102" s="34"/>
      <c r="C102" s="34"/>
      <c r="D102" s="34"/>
      <c r="E102" s="34"/>
      <c r="F102" s="34"/>
    </row>
    <row r="103" spans="1:6" x14ac:dyDescent="0.3">
      <c r="A103" s="33"/>
      <c r="B103" s="34"/>
      <c r="C103" s="34"/>
      <c r="D103" s="34"/>
      <c r="E103" s="34"/>
      <c r="F103" s="34"/>
    </row>
    <row r="104" spans="1:6" x14ac:dyDescent="0.3">
      <c r="A104" s="33"/>
      <c r="B104" s="34"/>
      <c r="C104" s="34"/>
      <c r="D104" s="34"/>
      <c r="E104" s="34"/>
      <c r="F104" s="34"/>
    </row>
    <row r="105" spans="1:6" x14ac:dyDescent="0.3">
      <c r="A105" s="33"/>
      <c r="B105" s="34"/>
      <c r="C105" s="34"/>
      <c r="D105" s="34"/>
      <c r="E105" s="34"/>
      <c r="F105" s="34"/>
    </row>
    <row r="106" spans="1:6" x14ac:dyDescent="0.3">
      <c r="A106" s="33"/>
      <c r="B106" s="34"/>
      <c r="C106" s="34"/>
      <c r="D106" s="34"/>
      <c r="E106" s="34"/>
      <c r="F106" s="34"/>
    </row>
    <row r="107" spans="1:6" x14ac:dyDescent="0.3">
      <c r="A107" s="33"/>
      <c r="B107" s="34"/>
      <c r="C107" s="34"/>
      <c r="D107" s="34"/>
      <c r="E107" s="34"/>
      <c r="F107" s="34"/>
    </row>
    <row r="108" spans="1:6" x14ac:dyDescent="0.3">
      <c r="A108" s="33"/>
      <c r="B108" s="34"/>
      <c r="C108" s="34"/>
      <c r="D108" s="34"/>
      <c r="E108" s="34"/>
      <c r="F108" s="34"/>
    </row>
    <row r="109" spans="1:6" x14ac:dyDescent="0.3">
      <c r="A109" s="33"/>
      <c r="B109" s="34"/>
      <c r="C109" s="34"/>
      <c r="D109" s="34"/>
      <c r="E109" s="34"/>
      <c r="F109" s="34"/>
    </row>
    <row r="110" spans="1:6" x14ac:dyDescent="0.3">
      <c r="A110" s="33"/>
      <c r="B110" s="34"/>
      <c r="C110" s="34"/>
      <c r="D110" s="34"/>
      <c r="E110" s="34"/>
      <c r="F110" s="34"/>
    </row>
    <row r="111" spans="1:6" x14ac:dyDescent="0.3">
      <c r="A111" s="33"/>
      <c r="B111" s="34"/>
      <c r="C111" s="34"/>
      <c r="D111" s="34"/>
      <c r="E111" s="34"/>
      <c r="F111" s="34"/>
    </row>
    <row r="112" spans="1:6" x14ac:dyDescent="0.3">
      <c r="A112" s="33"/>
      <c r="B112" s="34"/>
      <c r="C112" s="34"/>
      <c r="D112" s="34"/>
      <c r="E112" s="34"/>
      <c r="F112" s="34"/>
    </row>
    <row r="113" spans="1:6" x14ac:dyDescent="0.3">
      <c r="A113" s="33"/>
      <c r="B113" s="34"/>
      <c r="C113" s="34"/>
      <c r="D113" s="34"/>
      <c r="E113" s="34"/>
      <c r="F113" s="34"/>
    </row>
    <row r="114" spans="1:6" x14ac:dyDescent="0.3">
      <c r="A114" s="33"/>
      <c r="B114" s="34"/>
      <c r="C114" s="34"/>
      <c r="D114" s="34"/>
      <c r="E114" s="34"/>
      <c r="F114" s="34"/>
    </row>
    <row r="115" spans="1:6" x14ac:dyDescent="0.3">
      <c r="A115" s="33"/>
      <c r="B115" s="34"/>
      <c r="C115" s="34"/>
      <c r="D115" s="34"/>
      <c r="E115" s="34"/>
      <c r="F115" s="34"/>
    </row>
    <row r="116" spans="1:6" x14ac:dyDescent="0.3">
      <c r="A116" s="33"/>
      <c r="B116" s="34"/>
      <c r="C116" s="34"/>
      <c r="D116" s="34"/>
      <c r="E116" s="34"/>
      <c r="F116" s="34"/>
    </row>
    <row r="117" spans="1:6" x14ac:dyDescent="0.3">
      <c r="A117" s="33"/>
      <c r="B117" s="34"/>
      <c r="C117" s="34"/>
      <c r="D117" s="34"/>
      <c r="E117" s="34"/>
      <c r="F117" s="34"/>
    </row>
    <row r="118" spans="1:6" x14ac:dyDescent="0.3">
      <c r="A118" s="33"/>
      <c r="B118" s="34"/>
      <c r="C118" s="34"/>
      <c r="D118" s="34"/>
      <c r="E118" s="34"/>
      <c r="F118" s="34"/>
    </row>
    <row r="119" spans="1:6" x14ac:dyDescent="0.3">
      <c r="A119" s="33"/>
      <c r="B119" s="34"/>
      <c r="C119" s="34"/>
      <c r="D119" s="34"/>
      <c r="E119" s="34"/>
      <c r="F119" s="34"/>
    </row>
    <row r="120" spans="1:6" x14ac:dyDescent="0.3">
      <c r="A120" s="33"/>
      <c r="B120" s="34"/>
      <c r="C120" s="34"/>
      <c r="D120" s="34"/>
      <c r="E120" s="34"/>
      <c r="F120" s="34"/>
    </row>
    <row r="121" spans="1:6" x14ac:dyDescent="0.3">
      <c r="A121" s="33"/>
      <c r="B121" s="34"/>
      <c r="C121" s="34"/>
      <c r="D121" s="34"/>
      <c r="E121" s="34"/>
      <c r="F121" s="34"/>
    </row>
    <row r="122" spans="1:6" x14ac:dyDescent="0.3">
      <c r="A122" s="33"/>
      <c r="B122" s="34"/>
      <c r="C122" s="34"/>
      <c r="D122" s="34"/>
      <c r="E122" s="34"/>
      <c r="F122" s="34"/>
    </row>
    <row r="123" spans="1:6" x14ac:dyDescent="0.3">
      <c r="A123" s="33"/>
      <c r="B123" s="34"/>
      <c r="C123" s="34"/>
      <c r="D123" s="34"/>
      <c r="E123" s="34"/>
      <c r="F123" s="34"/>
    </row>
    <row r="124" spans="1:6" x14ac:dyDescent="0.3">
      <c r="A124" s="33"/>
      <c r="B124" s="34"/>
      <c r="C124" s="34"/>
      <c r="D124" s="34"/>
      <c r="E124" s="34"/>
      <c r="F124" s="34"/>
    </row>
    <row r="125" spans="1:6" x14ac:dyDescent="0.3">
      <c r="A125" s="33"/>
      <c r="B125" s="34"/>
      <c r="C125" s="34"/>
      <c r="D125" s="34"/>
      <c r="E125" s="34"/>
      <c r="F125" s="34"/>
    </row>
    <row r="126" spans="1:6" x14ac:dyDescent="0.3">
      <c r="A126" s="33"/>
      <c r="B126" s="34"/>
      <c r="C126" s="34"/>
      <c r="D126" s="34"/>
      <c r="E126" s="34"/>
      <c r="F126" s="34"/>
    </row>
    <row r="127" spans="1:6" x14ac:dyDescent="0.3">
      <c r="A127" s="33"/>
      <c r="B127" s="34"/>
      <c r="C127" s="34"/>
      <c r="D127" s="34"/>
      <c r="E127" s="34"/>
      <c r="F127" s="34"/>
    </row>
    <row r="128" spans="1:6" x14ac:dyDescent="0.3">
      <c r="A128" s="33"/>
      <c r="B128" s="34"/>
      <c r="C128" s="34"/>
      <c r="D128" s="34"/>
      <c r="E128" s="34"/>
      <c r="F128" s="34"/>
    </row>
    <row r="129" spans="1:6" x14ac:dyDescent="0.3">
      <c r="A129" s="33"/>
      <c r="B129" s="34"/>
      <c r="C129" s="34"/>
      <c r="D129" s="34"/>
      <c r="E129" s="34"/>
      <c r="F129" s="34"/>
    </row>
    <row r="130" spans="1:6" x14ac:dyDescent="0.3">
      <c r="A130" s="33"/>
      <c r="B130" s="34"/>
      <c r="C130" s="34"/>
      <c r="D130" s="34"/>
      <c r="E130" s="34"/>
      <c r="F130" s="34"/>
    </row>
    <row r="131" spans="1:6" x14ac:dyDescent="0.3">
      <c r="A131" s="33"/>
      <c r="B131" s="34"/>
      <c r="C131" s="34"/>
      <c r="D131" s="34"/>
      <c r="E131" s="34"/>
      <c r="F131" s="34"/>
    </row>
    <row r="132" spans="1:6" x14ac:dyDescent="0.3">
      <c r="A132" s="33"/>
      <c r="B132" s="34"/>
      <c r="C132" s="34"/>
      <c r="D132" s="34"/>
      <c r="E132" s="34"/>
      <c r="F132" s="34"/>
    </row>
    <row r="133" spans="1:6" x14ac:dyDescent="0.3">
      <c r="A133" s="33"/>
      <c r="B133" s="34"/>
      <c r="C133" s="34"/>
      <c r="D133" s="34"/>
      <c r="E133" s="34"/>
      <c r="F133" s="34"/>
    </row>
    <row r="134" spans="1:6" x14ac:dyDescent="0.3">
      <c r="A134" s="33"/>
      <c r="B134" s="34"/>
      <c r="C134" s="34"/>
      <c r="D134" s="34"/>
      <c r="E134" s="34"/>
      <c r="F134" s="34"/>
    </row>
    <row r="135" spans="1:6" x14ac:dyDescent="0.3">
      <c r="A135" s="33"/>
      <c r="B135" s="34"/>
      <c r="C135" s="34"/>
      <c r="D135" s="34"/>
      <c r="E135" s="34"/>
      <c r="F135" s="34"/>
    </row>
    <row r="136" spans="1:6" x14ac:dyDescent="0.3">
      <c r="A136" s="33"/>
      <c r="B136" s="34"/>
      <c r="C136" s="34"/>
      <c r="D136" s="34"/>
      <c r="E136" s="34"/>
      <c r="F136" s="34"/>
    </row>
    <row r="137" spans="1:6" x14ac:dyDescent="0.3">
      <c r="A137" s="33"/>
      <c r="B137" s="34"/>
      <c r="C137" s="34"/>
      <c r="D137" s="34"/>
      <c r="E137" s="34"/>
      <c r="F137" s="34"/>
    </row>
    <row r="138" spans="1:6" x14ac:dyDescent="0.3">
      <c r="A138" s="33"/>
      <c r="B138" s="34"/>
      <c r="C138" s="34"/>
      <c r="D138" s="34"/>
      <c r="E138" s="34"/>
      <c r="F138" s="34"/>
    </row>
    <row r="139" spans="1:6" x14ac:dyDescent="0.3">
      <c r="A139" s="33"/>
      <c r="B139" s="34"/>
      <c r="C139" s="34"/>
      <c r="D139" s="34"/>
      <c r="E139" s="34"/>
      <c r="F139" s="34"/>
    </row>
    <row r="140" spans="1:6" x14ac:dyDescent="0.3">
      <c r="A140" s="33"/>
      <c r="B140" s="34"/>
      <c r="C140" s="34"/>
      <c r="D140" s="34"/>
      <c r="E140" s="34"/>
      <c r="F140" s="34"/>
    </row>
    <row r="141" spans="1:6" x14ac:dyDescent="0.3">
      <c r="A141" s="33"/>
      <c r="B141" s="34"/>
      <c r="C141" s="34"/>
      <c r="D141" s="34"/>
      <c r="E141" s="34"/>
      <c r="F141" s="34"/>
    </row>
    <row r="142" spans="1:6" x14ac:dyDescent="0.3">
      <c r="A142" s="33"/>
      <c r="B142" s="34"/>
      <c r="C142" s="34"/>
      <c r="D142" s="34"/>
      <c r="E142" s="34"/>
      <c r="F142" s="34"/>
    </row>
    <row r="143" spans="1:6" x14ac:dyDescent="0.3">
      <c r="A143" s="33"/>
      <c r="B143" s="34"/>
      <c r="C143" s="34"/>
      <c r="D143" s="34"/>
      <c r="E143" s="34"/>
      <c r="F143" s="34"/>
    </row>
    <row r="144" spans="1:6" x14ac:dyDescent="0.3">
      <c r="A144" s="33"/>
      <c r="B144" s="34"/>
      <c r="C144" s="34"/>
      <c r="D144" s="34"/>
      <c r="E144" s="34"/>
      <c r="F144" s="34"/>
    </row>
    <row r="145" spans="1:6" x14ac:dyDescent="0.3">
      <c r="A145" s="33"/>
      <c r="B145" s="34"/>
      <c r="C145" s="34"/>
      <c r="D145" s="34"/>
      <c r="E145" s="34"/>
      <c r="F145" s="34"/>
    </row>
    <row r="146" spans="1:6" x14ac:dyDescent="0.3">
      <c r="A146" s="33"/>
      <c r="B146" s="34"/>
      <c r="C146" s="34"/>
      <c r="D146" s="34"/>
      <c r="E146" s="34"/>
      <c r="F146" s="34"/>
    </row>
    <row r="147" spans="1:6" x14ac:dyDescent="0.3">
      <c r="A147" s="33"/>
      <c r="B147" s="34"/>
      <c r="C147" s="34"/>
      <c r="D147" s="34"/>
      <c r="E147" s="34"/>
      <c r="F147" s="34"/>
    </row>
    <row r="148" spans="1:6" x14ac:dyDescent="0.3">
      <c r="A148" s="33"/>
      <c r="B148" s="34"/>
      <c r="C148" s="34"/>
      <c r="D148" s="34"/>
      <c r="E148" s="34"/>
      <c r="F148" s="34"/>
    </row>
    <row r="149" spans="1:6" x14ac:dyDescent="0.3">
      <c r="A149" s="33"/>
      <c r="B149" s="34"/>
      <c r="C149" s="34"/>
      <c r="D149" s="34"/>
      <c r="E149" s="34"/>
      <c r="F149" s="34"/>
    </row>
    <row r="150" spans="1:6" x14ac:dyDescent="0.3">
      <c r="A150" s="33"/>
      <c r="B150" s="34"/>
      <c r="C150" s="34"/>
      <c r="D150" s="34"/>
      <c r="E150" s="34"/>
      <c r="F150" s="34"/>
    </row>
    <row r="151" spans="1:6" x14ac:dyDescent="0.3">
      <c r="A151" s="33"/>
      <c r="B151" s="34"/>
      <c r="C151" s="34"/>
      <c r="D151" s="34"/>
      <c r="E151" s="34"/>
      <c r="F151" s="34"/>
    </row>
    <row r="152" spans="1:6" x14ac:dyDescent="0.3">
      <c r="A152" s="33"/>
      <c r="B152" s="34"/>
      <c r="C152" s="34"/>
      <c r="D152" s="34"/>
      <c r="E152" s="34"/>
      <c r="F152" s="34"/>
    </row>
    <row r="153" spans="1:6" x14ac:dyDescent="0.3">
      <c r="A153" s="33"/>
      <c r="B153" s="34"/>
      <c r="C153" s="34"/>
      <c r="D153" s="34"/>
      <c r="E153" s="34"/>
      <c r="F153" s="34"/>
    </row>
    <row r="154" spans="1:6" x14ac:dyDescent="0.3">
      <c r="A154" s="33"/>
      <c r="B154" s="34"/>
      <c r="C154" s="34"/>
      <c r="D154" s="34"/>
      <c r="E154" s="34"/>
      <c r="F154" s="34"/>
    </row>
    <row r="155" spans="1:6" x14ac:dyDescent="0.3">
      <c r="A155" s="33"/>
      <c r="B155" s="34"/>
      <c r="C155" s="34"/>
      <c r="D155" s="34"/>
      <c r="E155" s="34"/>
      <c r="F155" s="34"/>
    </row>
    <row r="156" spans="1:6" x14ac:dyDescent="0.3">
      <c r="A156" s="33"/>
      <c r="B156" s="34"/>
      <c r="C156" s="34"/>
      <c r="D156" s="34"/>
      <c r="E156" s="34"/>
      <c r="F156" s="34"/>
    </row>
    <row r="157" spans="1:6" x14ac:dyDescent="0.3">
      <c r="A157" s="33"/>
      <c r="B157" s="34"/>
      <c r="C157" s="34"/>
      <c r="D157" s="34"/>
      <c r="E157" s="34"/>
      <c r="F157" s="34"/>
    </row>
    <row r="158" spans="1:6" x14ac:dyDescent="0.3">
      <c r="A158" s="33"/>
      <c r="B158" s="34"/>
      <c r="C158" s="34"/>
      <c r="D158" s="34"/>
      <c r="E158" s="34"/>
      <c r="F158" s="34"/>
    </row>
    <row r="159" spans="1:6" x14ac:dyDescent="0.3">
      <c r="A159" s="33"/>
      <c r="B159" s="34"/>
      <c r="C159" s="34"/>
      <c r="D159" s="34"/>
      <c r="E159" s="34"/>
      <c r="F159" s="34"/>
    </row>
    <row r="160" spans="1:6" x14ac:dyDescent="0.3">
      <c r="A160" s="33"/>
      <c r="B160" s="34"/>
      <c r="C160" s="34"/>
      <c r="D160" s="34"/>
      <c r="E160" s="34"/>
      <c r="F160" s="34"/>
    </row>
    <row r="161" spans="1:6" x14ac:dyDescent="0.3">
      <c r="A161" s="33"/>
      <c r="B161" s="34"/>
      <c r="C161" s="34"/>
      <c r="D161" s="34"/>
      <c r="E161" s="34"/>
      <c r="F161" s="34"/>
    </row>
    <row r="162" spans="1:6" x14ac:dyDescent="0.3">
      <c r="A162" s="33"/>
      <c r="B162" s="34"/>
      <c r="C162" s="34"/>
      <c r="D162" s="34"/>
      <c r="E162" s="34"/>
      <c r="F162" s="34"/>
    </row>
    <row r="163" spans="1:6" x14ac:dyDescent="0.3">
      <c r="A163" s="33"/>
      <c r="B163" s="34"/>
      <c r="C163" s="34"/>
      <c r="D163" s="34"/>
      <c r="E163" s="34"/>
      <c r="F163" s="34"/>
    </row>
    <row r="164" spans="1:6" x14ac:dyDescent="0.3">
      <c r="A164" s="33"/>
      <c r="B164" s="34"/>
      <c r="C164" s="34"/>
      <c r="D164" s="34"/>
      <c r="E164" s="34"/>
      <c r="F164" s="34"/>
    </row>
    <row r="165" spans="1:6" x14ac:dyDescent="0.3">
      <c r="A165" s="33"/>
      <c r="B165" s="34"/>
      <c r="C165" s="34"/>
      <c r="D165" s="34"/>
      <c r="E165" s="34"/>
      <c r="F165" s="34"/>
    </row>
    <row r="166" spans="1:6" x14ac:dyDescent="0.3">
      <c r="A166" s="33"/>
      <c r="B166" s="34"/>
      <c r="C166" s="34"/>
      <c r="D166" s="34"/>
      <c r="E166" s="34"/>
      <c r="F166" s="34"/>
    </row>
    <row r="167" spans="1:6" x14ac:dyDescent="0.3">
      <c r="A167" s="33"/>
      <c r="B167" s="34"/>
      <c r="C167" s="34"/>
      <c r="D167" s="34"/>
      <c r="E167" s="34"/>
      <c r="F167" s="34"/>
    </row>
    <row r="168" spans="1:6" x14ac:dyDescent="0.3">
      <c r="A168" s="33"/>
      <c r="B168" s="34"/>
      <c r="C168" s="34"/>
      <c r="D168" s="34"/>
      <c r="E168" s="34"/>
      <c r="F168" s="34"/>
    </row>
    <row r="169" spans="1:6" x14ac:dyDescent="0.3">
      <c r="A169" s="33"/>
      <c r="B169" s="34"/>
      <c r="C169" s="34"/>
      <c r="D169" s="34"/>
      <c r="E169" s="34"/>
      <c r="F169" s="34"/>
    </row>
    <row r="170" spans="1:6" x14ac:dyDescent="0.3">
      <c r="A170" s="33"/>
      <c r="B170" s="34"/>
      <c r="C170" s="34"/>
      <c r="D170" s="34"/>
      <c r="E170" s="34"/>
      <c r="F170" s="34"/>
    </row>
    <row r="171" spans="1:6" x14ac:dyDescent="0.3">
      <c r="A171" s="33"/>
      <c r="B171" s="34"/>
      <c r="C171" s="34"/>
      <c r="D171" s="34"/>
      <c r="E171" s="34"/>
      <c r="F171" s="34"/>
    </row>
    <row r="172" spans="1:6" x14ac:dyDescent="0.3">
      <c r="A172" s="33"/>
      <c r="B172" s="34"/>
      <c r="C172" s="34"/>
      <c r="D172" s="34"/>
      <c r="E172" s="34"/>
      <c r="F172" s="34"/>
    </row>
    <row r="173" spans="1:6" x14ac:dyDescent="0.3">
      <c r="A173" s="33"/>
      <c r="B173" s="34"/>
      <c r="C173" s="34"/>
      <c r="D173" s="34"/>
      <c r="E173" s="34"/>
      <c r="F173" s="34"/>
    </row>
    <row r="174" spans="1:6" x14ac:dyDescent="0.3">
      <c r="A174" s="33"/>
      <c r="B174" s="34"/>
      <c r="C174" s="34"/>
      <c r="D174" s="34"/>
      <c r="E174" s="34"/>
      <c r="F174" s="34"/>
    </row>
    <row r="175" spans="1:6" x14ac:dyDescent="0.3">
      <c r="A175" s="33"/>
      <c r="B175" s="34"/>
      <c r="C175" s="34"/>
      <c r="D175" s="34"/>
      <c r="E175" s="34"/>
      <c r="F175" s="34"/>
    </row>
    <row r="176" spans="1:6" x14ac:dyDescent="0.3">
      <c r="A176" s="33"/>
      <c r="B176" s="34"/>
      <c r="C176" s="34"/>
      <c r="D176" s="34"/>
      <c r="E176" s="34"/>
      <c r="F176" s="34"/>
    </row>
    <row r="177" spans="1:6" x14ac:dyDescent="0.3">
      <c r="A177" s="33"/>
      <c r="B177" s="34"/>
      <c r="C177" s="34"/>
      <c r="D177" s="34"/>
      <c r="E177" s="34"/>
      <c r="F177" s="34"/>
    </row>
    <row r="178" spans="1:6" x14ac:dyDescent="0.3">
      <c r="A178" s="33"/>
      <c r="B178" s="34"/>
      <c r="C178" s="34"/>
      <c r="D178" s="34"/>
      <c r="E178" s="34"/>
      <c r="F178" s="34"/>
    </row>
    <row r="179" spans="1:6" x14ac:dyDescent="0.3">
      <c r="A179" s="33"/>
      <c r="B179" s="34"/>
      <c r="C179" s="34"/>
      <c r="D179" s="34"/>
      <c r="E179" s="34"/>
      <c r="F179" s="34"/>
    </row>
    <row r="180" spans="1:6" x14ac:dyDescent="0.3">
      <c r="A180" s="33"/>
      <c r="B180" s="34"/>
      <c r="C180" s="34"/>
      <c r="D180" s="34"/>
      <c r="E180" s="34"/>
      <c r="F180" s="34"/>
    </row>
    <row r="181" spans="1:6" x14ac:dyDescent="0.3">
      <c r="A181" s="33"/>
      <c r="B181" s="34"/>
      <c r="C181" s="34"/>
      <c r="D181" s="34"/>
      <c r="E181" s="34"/>
      <c r="F181" s="34"/>
    </row>
    <row r="182" spans="1:6" x14ac:dyDescent="0.3">
      <c r="A182" s="33"/>
      <c r="B182" s="34"/>
      <c r="C182" s="34"/>
      <c r="D182" s="34"/>
      <c r="E182" s="34"/>
      <c r="F182" s="34"/>
    </row>
    <row r="183" spans="1:6" x14ac:dyDescent="0.3">
      <c r="A183" s="33"/>
      <c r="B183" s="34"/>
      <c r="C183" s="34"/>
      <c r="D183" s="34"/>
      <c r="E183" s="34"/>
      <c r="F183" s="34"/>
    </row>
    <row r="184" spans="1:6" x14ac:dyDescent="0.3">
      <c r="A184" s="33"/>
      <c r="B184" s="34"/>
      <c r="C184" s="34"/>
      <c r="D184" s="34"/>
      <c r="E184" s="34"/>
      <c r="F184" s="34"/>
    </row>
    <row r="185" spans="1:6" x14ac:dyDescent="0.3">
      <c r="A185" s="33"/>
      <c r="B185" s="34"/>
      <c r="C185" s="34"/>
      <c r="D185" s="34"/>
      <c r="E185" s="34"/>
      <c r="F185" s="34"/>
    </row>
    <row r="186" spans="1:6" x14ac:dyDescent="0.3">
      <c r="A186" s="33"/>
      <c r="B186" s="34"/>
      <c r="C186" s="34"/>
      <c r="D186" s="34"/>
      <c r="E186" s="34"/>
      <c r="F186" s="34"/>
    </row>
    <row r="187" spans="1:6" x14ac:dyDescent="0.3">
      <c r="A187" s="33"/>
      <c r="B187" s="34"/>
      <c r="C187" s="34"/>
      <c r="D187" s="34"/>
      <c r="E187" s="34"/>
      <c r="F187" s="34"/>
    </row>
    <row r="188" spans="1:6" x14ac:dyDescent="0.3">
      <c r="A188" s="33"/>
      <c r="B188" s="34"/>
      <c r="C188" s="34"/>
      <c r="D188" s="34"/>
      <c r="E188" s="34"/>
      <c r="F188" s="34"/>
    </row>
    <row r="189" spans="1:6" x14ac:dyDescent="0.3">
      <c r="A189" s="33"/>
      <c r="B189" s="34"/>
      <c r="C189" s="34"/>
      <c r="D189" s="34"/>
      <c r="E189" s="34"/>
      <c r="F189" s="34"/>
    </row>
    <row r="190" spans="1:6" x14ac:dyDescent="0.3">
      <c r="A190" s="33"/>
      <c r="B190" s="34"/>
      <c r="C190" s="34"/>
      <c r="D190" s="34"/>
      <c r="E190" s="34"/>
      <c r="F190" s="34"/>
    </row>
    <row r="191" spans="1:6" x14ac:dyDescent="0.3">
      <c r="A191" s="33"/>
      <c r="B191" s="34"/>
      <c r="C191" s="34"/>
      <c r="D191" s="34"/>
      <c r="E191" s="34"/>
      <c r="F191" s="34"/>
    </row>
    <row r="192" spans="1:6" x14ac:dyDescent="0.3">
      <c r="A192" s="33"/>
      <c r="B192" s="34"/>
      <c r="C192" s="34"/>
      <c r="D192" s="34"/>
      <c r="E192" s="34"/>
      <c r="F192" s="34"/>
    </row>
    <row r="193" spans="1:6" x14ac:dyDescent="0.3">
      <c r="A193" s="33"/>
      <c r="B193" s="34"/>
      <c r="C193" s="34"/>
      <c r="D193" s="34"/>
      <c r="E193" s="34"/>
      <c r="F193" s="34"/>
    </row>
    <row r="194" spans="1:6" x14ac:dyDescent="0.3">
      <c r="A194" s="33"/>
      <c r="B194" s="34"/>
      <c r="C194" s="34"/>
      <c r="D194" s="34"/>
      <c r="E194" s="34"/>
      <c r="F194" s="34"/>
    </row>
    <row r="195" spans="1:6" x14ac:dyDescent="0.3">
      <c r="A195" s="33"/>
      <c r="B195" s="34"/>
      <c r="C195" s="34"/>
      <c r="D195" s="34"/>
      <c r="E195" s="34"/>
      <c r="F195" s="34"/>
    </row>
    <row r="196" spans="1:6" x14ac:dyDescent="0.3">
      <c r="A196" s="33"/>
      <c r="B196" s="34"/>
      <c r="C196" s="34"/>
      <c r="D196" s="34"/>
      <c r="E196" s="34"/>
      <c r="F196" s="34"/>
    </row>
    <row r="197" spans="1:6" x14ac:dyDescent="0.3">
      <c r="A197" s="33"/>
      <c r="B197" s="34"/>
      <c r="C197" s="34"/>
      <c r="D197" s="34"/>
      <c r="E197" s="34"/>
      <c r="F197" s="34"/>
    </row>
    <row r="198" spans="1:6" x14ac:dyDescent="0.3">
      <c r="A198" s="33"/>
      <c r="B198" s="34"/>
      <c r="C198" s="34"/>
      <c r="D198" s="34"/>
      <c r="E198" s="34"/>
      <c r="F198" s="34"/>
    </row>
    <row r="199" spans="1:6" x14ac:dyDescent="0.3">
      <c r="A199" s="33"/>
      <c r="B199" s="34"/>
      <c r="C199" s="34"/>
      <c r="D199" s="34"/>
      <c r="E199" s="34"/>
      <c r="F199" s="34"/>
    </row>
    <row r="200" spans="1:6" x14ac:dyDescent="0.3">
      <c r="A200" s="33"/>
      <c r="B200" s="34"/>
      <c r="C200" s="34"/>
      <c r="D200" s="34"/>
      <c r="E200" s="34"/>
      <c r="F200" s="34"/>
    </row>
  </sheetData>
  <hyperlinks>
    <hyperlink ref="E2" r:id="rId1" xr:uid="{69EBDA09-AD4B-4ECF-9B67-646DE36167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ใบแจ้งหนี้</vt:lpstr>
      <vt:lpstr>สรุปใบแจ้งหนี้</vt:lpstr>
      <vt:lpstr>ข้อมูลสินค้า</vt:lpstr>
      <vt:lpstr>ข้อมูลลูกค้า</vt:lpstr>
      <vt:lpstr>ใบแจ้งหนี้!Print_Area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2026-06-05T04:43:01Z</cp:lastPrinted>
  <dcterms:created xsi:type="dcterms:W3CDTF">2026-06-01T12:11:44Z</dcterms:created>
  <dcterms:modified xsi:type="dcterms:W3CDTF">2026-06-16T03:14:06Z</dcterms:modified>
</cp:coreProperties>
</file>