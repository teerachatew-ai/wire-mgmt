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380" windowWidth="19180" windowHeight="11260" tabRatio="600" firstSheet="0" activeTab="0" autoFilterDateGrouping="1"/>
  </bookViews>
  <sheets>
    <sheet name="ใบแจ้งหนี้" sheetId="1" state="visible" r:id="rId1"/>
    <sheet name="สรุปใบแจ้งหนี้" sheetId="2" state="visible" r:id="rId2"/>
    <sheet name="ข้อมูลสินค้า" sheetId="3" state="visible" r:id="rId3"/>
    <sheet name="ข้อมูลลูกค้า" sheetId="4" state="visible" r:id="rId4"/>
  </sheets>
  <definedNames>
    <definedName name="_xlnm.Print_Area" localSheetId="0">'ใบแจ้งหนี้'!$A$1:$K$47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\ mmm\ yyyy"/>
    <numFmt numFmtId="165" formatCode="_(* #,##0_);_(* \(#,##0\);_(* &quot;-&quot;??_);_(@_)"/>
    <numFmt numFmtId="166" formatCode="_-* #,##0.0000_-;\-* #,##0.0000_-;_-* &quot;-&quot;??_-;_-@_-"/>
    <numFmt numFmtId="167" formatCode="_-* #,##0.00_-;\-* #,##0.00_-;_-* &quot;-&quot;??_-;_-@_-"/>
    <numFmt numFmtId="168" formatCode="_-* #,##0_-;\-* #,##0_-;_-* &quot;-&quot;??_-;_-@_-"/>
    <numFmt numFmtId="169" formatCode="[$-409]d\-mmm\-yy;@"/>
    <numFmt numFmtId="170" formatCode="#,##0;\-#,##0;&quot;&quot;"/>
    <numFmt numFmtId="171" formatCode="0\ &quot; EA&quot;"/>
  </numFmts>
  <fonts count="25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0"/>
      <sz val="11"/>
      <u val="single"/>
      <scheme val="minor"/>
    </font>
    <font>
      <name val="TH Sarabun New"/>
      <family val="2"/>
      <color theme="1"/>
      <sz val="12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TH Sarabun New"/>
      <family val="2"/>
      <b val="1"/>
      <color theme="0"/>
      <sz val="8"/>
    </font>
    <font>
      <name val="TH Sarabun New"/>
      <family val="2"/>
      <color theme="1"/>
      <sz val="8"/>
    </font>
    <font>
      <name val="TH Sarabun New"/>
      <family val="2"/>
      <color theme="1"/>
      <sz val="11"/>
    </font>
    <font>
      <name val="Cordia New"/>
      <family val="2"/>
      <color theme="1"/>
      <sz val="11"/>
    </font>
    <font>
      <name val="Cordia New"/>
      <family val="2"/>
      <color theme="1"/>
      <sz val="12"/>
    </font>
    <font>
      <name val="Cordia New"/>
      <family val="2"/>
      <sz val="12"/>
    </font>
    <font>
      <name val="Cordia New"/>
      <family val="2"/>
      <b val="1"/>
      <sz val="16"/>
    </font>
    <font>
      <name val="Cordia New"/>
      <family val="2"/>
      <b val="1"/>
      <color theme="3"/>
      <sz val="14"/>
    </font>
    <font>
      <name val="Cordia New"/>
      <family val="2"/>
      <b val="1"/>
      <sz val="14"/>
    </font>
    <font>
      <name val="Cordia New"/>
      <family val="2"/>
      <sz val="14"/>
    </font>
    <font>
      <name val="Cordia New"/>
      <family val="2"/>
      <b val="1"/>
      <color theme="1"/>
      <sz val="12"/>
    </font>
    <font>
      <name val="Cordia New"/>
      <family val="2"/>
      <color theme="1"/>
      <sz val="14"/>
    </font>
    <font>
      <name val="Cordia New"/>
      <family val="2"/>
      <b val="1"/>
      <color theme="1"/>
      <sz val="14"/>
    </font>
    <font>
      <name val="Cordia New"/>
      <family val="2"/>
      <color theme="3"/>
      <sz val="14"/>
    </font>
    <font>
      <name val="Cordia New"/>
      <family val="2"/>
      <b val="1"/>
      <color theme="0"/>
      <sz val="14"/>
    </font>
    <font>
      <name val="Cordia New"/>
      <family val="2"/>
      <i val="1"/>
      <color rgb="FF0070C0"/>
      <sz val="14"/>
    </font>
    <font>
      <name val="Cordia New"/>
      <family val="2"/>
      <i val="1"/>
      <color theme="1"/>
      <sz val="14"/>
    </font>
    <font>
      <name val="Cordia New"/>
      <b val="1"/>
      <sz val="24"/>
    </font>
    <font>
      <name val="Cordia New"/>
      <b val="1"/>
      <sz val="16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/>
        <bgColor theme="7" tint="0.799981688894314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9D02B4"/>
        <bgColor indexed="64"/>
      </patternFill>
    </fill>
    <fill>
      <patternFill patternType="solid">
        <fgColor rgb="FF4402B4"/>
        <bgColor indexed="64"/>
      </patternFill>
    </fill>
    <fill>
      <patternFill patternType="solid">
        <fgColor rgb="FFB4027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hair">
        <color theme="0" tint="-0.2499465926084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theme="0" tint="-0.24994659260841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hair">
        <color theme="0" tint="-0.1499679555650502"/>
      </bottom>
      <diagonal/>
    </border>
    <border>
      <left style="thin">
        <color auto="1"/>
      </left>
      <right style="thin">
        <color auto="1"/>
      </right>
      <top style="hair">
        <color theme="0" tint="-0.1499679555650502"/>
      </top>
      <bottom style="hair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1" fillId="0" borderId="0"/>
    <xf numFmtId="167" fontId="1" fillId="0" borderId="0"/>
    <xf numFmtId="0" fontId="2" fillId="0" borderId="0"/>
  </cellStyleXfs>
  <cellXfs count="207">
    <xf numFmtId="0" fontId="0" fillId="0" borderId="0" pivotButton="0" quotePrefix="0" xfId="0"/>
    <xf numFmtId="164" fontId="4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165" fontId="4" fillId="6" borderId="2" applyAlignment="1" pivotButton="0" quotePrefix="0" xfId="1">
      <alignment horizontal="center"/>
    </xf>
    <xf numFmtId="164" fontId="3" fillId="0" borderId="20" pivotButton="0" quotePrefix="0" xfId="0"/>
    <xf numFmtId="0" fontId="3" fillId="0" borderId="20" pivotButton="0" quotePrefix="0" xfId="0"/>
    <xf numFmtId="166" fontId="3" fillId="0" borderId="0" pivotButton="0" quotePrefix="0" xfId="1"/>
    <xf numFmtId="164" fontId="3" fillId="0" borderId="21" pivotButton="0" quotePrefix="0" xfId="0"/>
    <xf numFmtId="0" fontId="3" fillId="0" borderId="21" pivotButton="0" quotePrefix="0" xfId="0"/>
    <xf numFmtId="164" fontId="5" fillId="0" borderId="21" pivotButton="0" quotePrefix="0" xfId="0"/>
    <xf numFmtId="0" fontId="5" fillId="0" borderId="21" pivotButton="0" quotePrefix="0" xfId="0"/>
    <xf numFmtId="167" fontId="5" fillId="0" borderId="21" pivotButton="0" quotePrefix="0" xfId="1"/>
    <xf numFmtId="165" fontId="5" fillId="0" borderId="21" pivotButton="0" quotePrefix="0" xfId="1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1"/>
    <xf numFmtId="164" fontId="5" fillId="0" borderId="20" pivotButton="0" quotePrefix="0" xfId="0"/>
    <xf numFmtId="0" fontId="5" fillId="0" borderId="20" pivotButton="0" quotePrefix="0" xfId="0"/>
    <xf numFmtId="164" fontId="4" fillId="8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5" fillId="0" borderId="20" pivotButton="0" quotePrefix="1" xfId="0"/>
    <xf numFmtId="0" fontId="2" fillId="0" borderId="20" pivotButton="0" quotePrefix="0" xfId="2"/>
    <xf numFmtId="164" fontId="6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8" fillId="0" borderId="0" pivotButton="0" quotePrefix="0" xfId="0"/>
    <xf numFmtId="164" fontId="7" fillId="0" borderId="20" pivotButton="0" quotePrefix="0" xfId="0"/>
    <xf numFmtId="0" fontId="7" fillId="0" borderId="20" pivotButton="0" quotePrefix="0" xfId="0"/>
    <xf numFmtId="168" fontId="7" fillId="0" borderId="20" pivotButton="0" quotePrefix="0" xfId="1"/>
    <xf numFmtId="0" fontId="7" fillId="0" borderId="0" pivotButton="0" quotePrefix="0" xfId="0"/>
    <xf numFmtId="168" fontId="7" fillId="0" borderId="21" pivotButton="0" quotePrefix="0" xfId="1"/>
    <xf numFmtId="0" fontId="7" fillId="0" borderId="21" pivotButton="0" quotePrefix="0" xfId="0"/>
    <xf numFmtId="164" fontId="7" fillId="0" borderId="21" pivotButton="0" quotePrefix="0" xfId="0"/>
    <xf numFmtId="164" fontId="7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0" fillId="2" borderId="0" pivotButton="0" quotePrefix="0" xfId="0"/>
    <xf numFmtId="0" fontId="17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left"/>
    </xf>
    <xf numFmtId="0" fontId="17" fillId="2" borderId="0" pivotButton="0" quotePrefix="0" xfId="0"/>
    <xf numFmtId="0" fontId="17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0" fillId="2" borderId="0" applyAlignment="1" pivotButton="0" quotePrefix="0" xfId="0">
      <alignment vertical="top"/>
    </xf>
    <xf numFmtId="0" fontId="17" fillId="2" borderId="1" pivotButton="0" quotePrefix="0" xfId="0"/>
    <xf numFmtId="0" fontId="17" fillId="0" borderId="22" pivotButton="0" quotePrefix="0" xfId="0"/>
    <xf numFmtId="0" fontId="17" fillId="0" borderId="23" pivotButton="0" quotePrefix="0" xfId="0"/>
    <xf numFmtId="0" fontId="17" fillId="0" borderId="24" pivotButton="0" quotePrefix="0" xfId="0"/>
    <xf numFmtId="0" fontId="17" fillId="0" borderId="25" pivotButton="0" quotePrefix="0" xfId="0"/>
    <xf numFmtId="0" fontId="17" fillId="0" borderId="26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right" vertical="center" indent="1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 indent="1"/>
    </xf>
    <xf numFmtId="0" fontId="15" fillId="0" borderId="0" applyAlignment="1" pivotButton="0" quotePrefix="0" xfId="0">
      <alignment horizontal="right"/>
    </xf>
    <xf numFmtId="0" fontId="18" fillId="2" borderId="0" pivotButton="0" quotePrefix="0" xfId="0"/>
    <xf numFmtId="0" fontId="18" fillId="2" borderId="0" applyAlignment="1" pivotButton="0" quotePrefix="0" xfId="0">
      <alignment horizontal="center" vertical="center"/>
    </xf>
    <xf numFmtId="169" fontId="18" fillId="2" borderId="44" applyAlignment="1" pivotButton="0" quotePrefix="0" xfId="0">
      <alignment horizontal="center" vertical="center"/>
    </xf>
    <xf numFmtId="0" fontId="17" fillId="2" borderId="45" pivotButton="0" quotePrefix="0" xfId="0"/>
    <xf numFmtId="0" fontId="17" fillId="2" borderId="0" applyAlignment="1" pivotButton="0" quotePrefix="0" xfId="0">
      <alignment horizontal="center"/>
    </xf>
    <xf numFmtId="0" fontId="19" fillId="0" borderId="0" pivotButton="0" quotePrefix="0" xfId="0"/>
    <xf numFmtId="0" fontId="17" fillId="2" borderId="1" applyAlignment="1" pivotButton="0" quotePrefix="0" xfId="0">
      <alignment horizontal="center"/>
    </xf>
    <xf numFmtId="0" fontId="18" fillId="2" borderId="0" applyAlignment="1" pivotButton="0" quotePrefix="0" xfId="0">
      <alignment wrapText="1"/>
    </xf>
    <xf numFmtId="169" fontId="17" fillId="2" borderId="3" applyAlignment="1" pivotButton="0" quotePrefix="0" xfId="0">
      <alignment horizontal="center"/>
    </xf>
    <xf numFmtId="169" fontId="17" fillId="2" borderId="1" applyAlignment="1" pivotButton="0" quotePrefix="0" xfId="0">
      <alignment horizontal="center"/>
    </xf>
    <xf numFmtId="49" fontId="17" fillId="2" borderId="1" applyAlignment="1" pivotButton="0" quotePrefix="1" xfId="0">
      <alignment vertical="center"/>
    </xf>
    <xf numFmtId="170" fontId="17" fillId="2" borderId="1" pivotButton="0" quotePrefix="0" xfId="0"/>
    <xf numFmtId="14" fontId="17" fillId="2" borderId="1" applyAlignment="1" pivotButton="0" quotePrefix="1" xfId="0">
      <alignment horizontal="left" vertical="center"/>
    </xf>
    <xf numFmtId="0" fontId="17" fillId="2" borderId="26" applyAlignment="1" pivotButton="0" quotePrefix="0" xfId="0">
      <alignment horizontal="center"/>
    </xf>
    <xf numFmtId="0" fontId="17" fillId="0" borderId="3" pivotButton="0" quotePrefix="0" xfId="0"/>
    <xf numFmtId="0" fontId="17" fillId="2" borderId="26" pivotButton="0" quotePrefix="0" xfId="0"/>
    <xf numFmtId="0" fontId="20" fillId="3" borderId="4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15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0" fontId="20" fillId="3" borderId="8" applyAlignment="1" pivotButton="0" quotePrefix="0" xfId="0">
      <alignment horizontal="center" vertical="center"/>
    </xf>
    <xf numFmtId="0" fontId="20" fillId="3" borderId="37" applyAlignment="1" pivotButton="0" quotePrefix="0" xfId="0">
      <alignment horizontal="center" vertical="center"/>
    </xf>
    <xf numFmtId="0" fontId="20" fillId="3" borderId="14" applyAlignment="1" pivotButton="0" quotePrefix="0" xfId="0">
      <alignment horizontal="center" vertical="center"/>
    </xf>
    <xf numFmtId="0" fontId="20" fillId="3" borderId="38" applyAlignment="1" pivotButton="0" quotePrefix="0" xfId="0">
      <alignment horizontal="center" vertical="center"/>
    </xf>
    <xf numFmtId="0" fontId="17" fillId="4" borderId="16" applyAlignment="1" pivotButton="0" quotePrefix="0" xfId="0">
      <alignment horizontal="center" vertical="center"/>
    </xf>
    <xf numFmtId="0" fontId="17" fillId="2" borderId="30" applyAlignment="1" pivotButton="0" quotePrefix="0" xfId="0">
      <alignment horizontal="left" vertical="center" indent="1"/>
    </xf>
    <xf numFmtId="0" fontId="17" fillId="4" borderId="17" applyAlignment="1" pivotButton="0" quotePrefix="0" xfId="0">
      <alignment horizontal="left" vertical="center" indent="1"/>
    </xf>
    <xf numFmtId="0" fontId="17" fillId="4" borderId="39" applyAlignment="1" pivotButton="0" quotePrefix="0" xfId="0">
      <alignment horizontal="center" vertical="center"/>
    </xf>
    <xf numFmtId="0" fontId="17" fillId="4" borderId="41" applyAlignment="1" pivotButton="0" quotePrefix="0" xfId="0">
      <alignment horizontal="center" vertical="center"/>
    </xf>
    <xf numFmtId="0" fontId="17" fillId="4" borderId="40" applyAlignment="1" pivotButton="0" quotePrefix="0" xfId="0">
      <alignment horizontal="center" vertical="center"/>
    </xf>
    <xf numFmtId="171" fontId="17" fillId="4" borderId="17" applyAlignment="1" pivotButton="0" quotePrefix="0" xfId="0">
      <alignment horizontal="center" vertical="center"/>
    </xf>
    <xf numFmtId="166" fontId="17" fillId="4" borderId="17" applyAlignment="1" pivotButton="0" quotePrefix="0" xfId="1">
      <alignment horizontal="center" vertical="center"/>
    </xf>
    <xf numFmtId="167" fontId="17" fillId="4" borderId="18" applyAlignment="1" pivotButton="0" quotePrefix="0" xfId="1">
      <alignment horizontal="right" vertical="center"/>
    </xf>
    <xf numFmtId="0" fontId="17" fillId="0" borderId="26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17" fillId="2" borderId="30" applyAlignment="1" pivotButton="0" quotePrefix="0" xfId="0">
      <alignment horizontal="center" vertical="center"/>
    </xf>
    <xf numFmtId="0" fontId="17" fillId="2" borderId="42" applyAlignment="1" pivotButton="0" quotePrefix="0" xfId="0">
      <alignment horizontal="center" vertical="center"/>
    </xf>
    <xf numFmtId="0" fontId="17" fillId="2" borderId="31" applyAlignment="1" pivotButton="0" quotePrefix="0" xfId="0">
      <alignment horizontal="center" vertical="center"/>
    </xf>
    <xf numFmtId="171" fontId="17" fillId="2" borderId="10" applyAlignment="1" pivotButton="0" quotePrefix="0" xfId="0">
      <alignment horizontal="center" vertical="center"/>
    </xf>
    <xf numFmtId="166" fontId="17" fillId="2" borderId="10" applyAlignment="1" pivotButton="0" quotePrefix="0" xfId="1">
      <alignment horizontal="center" vertical="center"/>
    </xf>
    <xf numFmtId="167" fontId="17" fillId="4" borderId="19" applyAlignment="1" pivotButton="0" quotePrefix="0" xfId="1">
      <alignment horizontal="right" vertical="center"/>
    </xf>
    <xf numFmtId="0" fontId="17" fillId="4" borderId="9" applyAlignment="1" pivotButton="0" quotePrefix="0" xfId="0">
      <alignment horizontal="center" vertical="center"/>
    </xf>
    <xf numFmtId="170" fontId="17" fillId="2" borderId="30" applyAlignment="1" pivotButton="0" quotePrefix="0" xfId="0">
      <alignment horizontal="left" vertical="center" indent="1"/>
    </xf>
    <xf numFmtId="170" fontId="17" fillId="2" borderId="30" applyAlignment="1" pivotButton="0" quotePrefix="0" xfId="0">
      <alignment horizontal="center" vertical="center"/>
    </xf>
    <xf numFmtId="170" fontId="17" fillId="2" borderId="42" applyAlignment="1" pivotButton="0" quotePrefix="0" xfId="0">
      <alignment horizontal="center" vertical="center"/>
    </xf>
    <xf numFmtId="170" fontId="17" fillId="2" borderId="3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7" fillId="2" borderId="32" applyAlignment="1" pivotButton="0" quotePrefix="0" xfId="0">
      <alignment horizontal="center" vertical="center"/>
    </xf>
    <xf numFmtId="0" fontId="17" fillId="2" borderId="43" applyAlignment="1" pivotButton="0" quotePrefix="0" xfId="0">
      <alignment horizontal="center" vertical="center"/>
    </xf>
    <xf numFmtId="0" fontId="17" fillId="2" borderId="33" applyAlignment="1" pivotButton="0" quotePrefix="0" xfId="0">
      <alignment horizontal="center" vertical="center"/>
    </xf>
    <xf numFmtId="171" fontId="17" fillId="2" borderId="12" applyAlignment="1" pivotButton="0" quotePrefix="0" xfId="0">
      <alignment horizontal="center" vertical="center"/>
    </xf>
    <xf numFmtId="166" fontId="17" fillId="2" borderId="12" applyAlignment="1" pivotButton="0" quotePrefix="0" xfId="1">
      <alignment horizontal="center" vertical="center"/>
    </xf>
    <xf numFmtId="167" fontId="17" fillId="4" borderId="13" applyAlignment="1" pivotButton="0" quotePrefix="0" xfId="1">
      <alignment horizontal="right" vertical="center"/>
    </xf>
    <xf numFmtId="0" fontId="18" fillId="2" borderId="15" pivotButton="0" quotePrefix="0" xfId="0"/>
    <xf numFmtId="0" fontId="17" fillId="0" borderId="15" pivotButton="0" quotePrefix="0" xfId="0"/>
    <xf numFmtId="0" fontId="17" fillId="2" borderId="15" pivotButton="0" quotePrefix="0" xfId="0"/>
    <xf numFmtId="0" fontId="18" fillId="2" borderId="15" applyAlignment="1" pivotButton="0" quotePrefix="0" xfId="0">
      <alignment horizontal="right" vertical="center" indent="1"/>
    </xf>
    <xf numFmtId="167" fontId="17" fillId="2" borderId="15" applyAlignment="1" pivotButton="0" quotePrefix="0" xfId="1">
      <alignment horizontal="right" vertical="center" indent="1"/>
    </xf>
    <xf numFmtId="0" fontId="18" fillId="2" borderId="0" applyAlignment="1" pivotButton="0" quotePrefix="0" xfId="0">
      <alignment vertical="center"/>
    </xf>
    <xf numFmtId="0" fontId="18" fillId="2" borderId="0" applyAlignment="1" pivotButton="0" quotePrefix="0" xfId="0">
      <alignment horizontal="left" vertical="center" indent="1"/>
    </xf>
    <xf numFmtId="167" fontId="17" fillId="2" borderId="0" applyAlignment="1" pivotButton="0" quotePrefix="0" xfId="1">
      <alignment horizontal="right" vertical="center"/>
    </xf>
    <xf numFmtId="0" fontId="18" fillId="2" borderId="0" applyAlignment="1" pivotButton="0" quotePrefix="0" xfId="0">
      <alignment horizontal="left" vertical="center"/>
    </xf>
    <xf numFmtId="167" fontId="17" fillId="2" borderId="14" applyAlignment="1" pivotButton="0" quotePrefix="0" xfId="1">
      <alignment horizontal="right" vertical="center"/>
    </xf>
    <xf numFmtId="167" fontId="18" fillId="5" borderId="34" applyAlignment="1" pivotButton="0" quotePrefix="0" xfId="1">
      <alignment horizontal="right" vertical="center" indent="1"/>
    </xf>
    <xf numFmtId="0" fontId="18" fillId="2" borderId="0" applyAlignment="1" pivotButton="0" quotePrefix="0" xfId="0">
      <alignment horizontal="right" vertical="center" indent="1"/>
    </xf>
    <xf numFmtId="167" fontId="18" fillId="2" borderId="0" applyAlignment="1" pivotButton="0" quotePrefix="0" xfId="1">
      <alignment horizontal="right" vertical="center" indent="1"/>
    </xf>
    <xf numFmtId="0" fontId="17" fillId="0" borderId="35" pivotButton="0" quotePrefix="0" xfId="0"/>
    <xf numFmtId="0" fontId="17" fillId="2" borderId="35" pivotButton="0" quotePrefix="0" xfId="0"/>
    <xf numFmtId="0" fontId="17" fillId="2" borderId="36" pivotButton="0" quotePrefix="0" xfId="0"/>
    <xf numFmtId="0" fontId="18" fillId="2" borderId="0" applyAlignment="1" pivotButton="0" quotePrefix="0" xfId="0">
      <alignment vertical="top" wrapText="1"/>
    </xf>
    <xf numFmtId="0" fontId="18" fillId="2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vertical="center"/>
    </xf>
    <xf numFmtId="169" fontId="17" fillId="2" borderId="1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7" fillId="0" borderId="27" pivotButton="0" quotePrefix="0" xfId="0"/>
    <xf numFmtId="0" fontId="17" fillId="0" borderId="28" pivotButton="0" quotePrefix="0" xfId="0"/>
    <xf numFmtId="0" fontId="17" fillId="0" borderId="29" pivotButton="0" quotePrefix="0" xfId="0"/>
    <xf numFmtId="0" fontId="9" fillId="2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0" fontId="21" fillId="2" borderId="0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169" fontId="18" fillId="2" borderId="44" applyAlignment="1" pivotButton="0" quotePrefix="0" xfId="0">
      <alignment horizontal="center" vertical="center"/>
    </xf>
    <xf numFmtId="0" fontId="0" fillId="0" borderId="1" pivotButton="0" quotePrefix="0" xfId="0"/>
    <xf numFmtId="169" fontId="17" fillId="2" borderId="46" applyAlignment="1" pivotButton="0" quotePrefix="0" xfId="0">
      <alignment horizontal="center"/>
    </xf>
    <xf numFmtId="170" fontId="17" fillId="2" borderId="1" pivotButton="0" quotePrefix="0" xfId="0"/>
    <xf numFmtId="0" fontId="20" fillId="3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6" pivotButton="0" quotePrefix="0" xfId="0"/>
    <xf numFmtId="0" fontId="20" fillId="3" borderId="51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38" pivotButton="0" quotePrefix="0" xfId="0"/>
    <xf numFmtId="0" fontId="17" fillId="4" borderId="1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0" pivotButton="0" quotePrefix="0" xfId="0"/>
    <xf numFmtId="171" fontId="17" fillId="4" borderId="17" applyAlignment="1" pivotButton="0" quotePrefix="0" xfId="0">
      <alignment horizontal="center" vertical="center"/>
    </xf>
    <xf numFmtId="166" fontId="17" fillId="4" borderId="17" applyAlignment="1" pivotButton="0" quotePrefix="0" xfId="1">
      <alignment horizontal="center" vertical="center"/>
    </xf>
    <xf numFmtId="167" fontId="17" fillId="4" borderId="18" applyAlignment="1" pivotButton="0" quotePrefix="0" xfId="1">
      <alignment horizontal="right" vertical="center"/>
    </xf>
    <xf numFmtId="0" fontId="17" fillId="2" borderId="1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1" pivotButton="0" quotePrefix="0" xfId="0"/>
    <xf numFmtId="171" fontId="17" fillId="2" borderId="10" applyAlignment="1" pivotButton="0" quotePrefix="0" xfId="0">
      <alignment horizontal="center" vertical="center"/>
    </xf>
    <xf numFmtId="166" fontId="17" fillId="2" borderId="10" applyAlignment="1" pivotButton="0" quotePrefix="0" xfId="1">
      <alignment horizontal="center" vertical="center"/>
    </xf>
    <xf numFmtId="167" fontId="17" fillId="4" borderId="19" applyAlignment="1" pivotButton="0" quotePrefix="0" xfId="1">
      <alignment horizontal="right" vertical="center"/>
    </xf>
    <xf numFmtId="170" fontId="17" fillId="2" borderId="30" applyAlignment="1" pivotButton="0" quotePrefix="0" xfId="0">
      <alignment horizontal="left" vertical="center" indent="1"/>
    </xf>
    <xf numFmtId="170" fontId="17" fillId="2" borderId="10" applyAlignment="1" pivotButton="0" quotePrefix="0" xfId="0">
      <alignment horizontal="center" vertical="center"/>
    </xf>
    <xf numFmtId="0" fontId="17" fillId="2" borderId="1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3" pivotButton="0" quotePrefix="0" xfId="0"/>
    <xf numFmtId="171" fontId="17" fillId="2" borderId="12" applyAlignment="1" pivotButton="0" quotePrefix="0" xfId="0">
      <alignment horizontal="center" vertical="center"/>
    </xf>
    <xf numFmtId="166" fontId="17" fillId="2" borderId="12" applyAlignment="1" pivotButton="0" quotePrefix="0" xfId="1">
      <alignment horizontal="center" vertical="center"/>
    </xf>
    <xf numFmtId="167" fontId="17" fillId="4" borderId="13" applyAlignment="1" pivotButton="0" quotePrefix="0" xfId="1">
      <alignment horizontal="right" vertical="center"/>
    </xf>
    <xf numFmtId="167" fontId="17" fillId="2" borderId="15" applyAlignment="1" pivotButton="0" quotePrefix="0" xfId="1">
      <alignment horizontal="right" vertical="center" indent="1"/>
    </xf>
    <xf numFmtId="167" fontId="17" fillId="2" borderId="14" applyAlignment="1" pivotButton="0" quotePrefix="0" xfId="1">
      <alignment horizontal="right" vertical="center"/>
    </xf>
    <xf numFmtId="0" fontId="0" fillId="0" borderId="14" pivotButton="0" quotePrefix="0" xfId="0"/>
    <xf numFmtId="167" fontId="18" fillId="5" borderId="34" applyAlignment="1" pivotButton="0" quotePrefix="0" xfId="1">
      <alignment horizontal="right" vertical="center" indent="1"/>
    </xf>
    <xf numFmtId="167" fontId="18" fillId="2" borderId="0" applyAlignment="1" pivotButton="0" quotePrefix="0" xfId="1">
      <alignment horizontal="right" vertical="center" indent="1"/>
    </xf>
    <xf numFmtId="0" fontId="21" fillId="2" borderId="1" applyAlignment="1" pivotButton="0" quotePrefix="0" xfId="0">
      <alignment horizontal="center"/>
    </xf>
    <xf numFmtId="169" fontId="17" fillId="2" borderId="1" applyAlignment="1" pivotButton="0" quotePrefix="0" xfId="0">
      <alignment horizontal="center"/>
    </xf>
    <xf numFmtId="164" fontId="7" fillId="0" borderId="0" pivotButton="0" quotePrefix="0" xfId="0"/>
    <xf numFmtId="164" fontId="6" fillId="7" borderId="2" applyAlignment="1" pivotButton="0" quotePrefix="0" xfId="0">
      <alignment horizontal="center"/>
    </xf>
    <xf numFmtId="164" fontId="7" fillId="0" borderId="20" pivotButton="0" quotePrefix="0" xfId="0"/>
    <xf numFmtId="164" fontId="3" fillId="0" borderId="20" pivotButton="0" quotePrefix="0" xfId="0"/>
    <xf numFmtId="168" fontId="7" fillId="0" borderId="20" pivotButton="0" quotePrefix="0" xfId="1"/>
    <xf numFmtId="164" fontId="3" fillId="0" borderId="21" pivotButton="0" quotePrefix="0" xfId="0"/>
    <xf numFmtId="168" fontId="7" fillId="0" borderId="21" pivotButton="0" quotePrefix="0" xfId="1"/>
    <xf numFmtId="164" fontId="7" fillId="0" borderId="21" pivotButton="0" quotePrefix="0" xfId="0"/>
    <xf numFmtId="164" fontId="5" fillId="0" borderId="0" pivotButton="0" quotePrefix="0" xfId="0"/>
    <xf numFmtId="165" fontId="5" fillId="0" borderId="0" pivotButton="0" quotePrefix="0" xfId="1"/>
    <xf numFmtId="164" fontId="4" fillId="6" borderId="2" applyAlignment="1" pivotButton="0" quotePrefix="0" xfId="0">
      <alignment horizontal="center"/>
    </xf>
    <xf numFmtId="165" fontId="4" fillId="6" borderId="2" applyAlignment="1" pivotButton="0" quotePrefix="0" xfId="1">
      <alignment horizontal="center"/>
    </xf>
    <xf numFmtId="166" fontId="3" fillId="0" borderId="0" pivotButton="0" quotePrefix="0" xfId="1"/>
    <xf numFmtId="164" fontId="5" fillId="0" borderId="21" pivotButton="0" quotePrefix="0" xfId="0"/>
    <xf numFmtId="167" fontId="5" fillId="0" borderId="21" pivotButton="0" quotePrefix="0" xfId="1"/>
    <xf numFmtId="165" fontId="5" fillId="0" borderId="21" pivotButton="0" quotePrefix="0" xfId="1"/>
    <xf numFmtId="164" fontId="4" fillId="8" borderId="2" applyAlignment="1" pivotButton="0" quotePrefix="0" xfId="0">
      <alignment horizontal="center"/>
    </xf>
    <xf numFmtId="164" fontId="5" fillId="0" borderId="20" pivotButton="0" quotePrefix="0" xfId="0"/>
    <xf numFmtId="0" fontId="23" fillId="0" borderId="55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4" fillId="0" borderId="56" applyAlignment="1" pivotButton="0" quotePrefix="0" xfId="0">
      <alignment horizontal="center" vertical="center"/>
    </xf>
    <xf numFmtId="0" fontId="0" fillId="0" borderId="26" pivotButton="0" quotePrefix="0" xfId="0"/>
  </cellXfs>
  <cellStyles count="3">
    <cellStyle name="Normal" xfId="0" builtinId="0"/>
    <cellStyle name="Comma" xfId="1" builtinId="3"/>
    <cellStyle name="Hyperlink" xfId="2" builtinId="8"/>
  </cellStyles>
  <dxfs count="1">
    <dxf>
      <border>
        <top style="thin">
          <color rgb="FFFF0000"/>
        </top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mailto:kaikui.chen@amphenolmcp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tabSelected="1" view="pageBreakPreview" zoomScale="79" zoomScaleNormal="100" zoomScaleSheetLayoutView="81" workbookViewId="0">
      <selection activeCell="I44" sqref="I44"/>
    </sheetView>
  </sheetViews>
  <sheetFormatPr baseColWidth="8" defaultRowHeight="21.5"/>
  <cols>
    <col width="3.26953125" customWidth="1" style="48" min="1" max="1"/>
    <col width="7.6328125" customWidth="1" style="48" min="2" max="2"/>
    <col width="12.1796875" customWidth="1" style="48" min="3" max="3"/>
    <col width="16.08984375" customWidth="1" style="48" min="4" max="4"/>
    <col width="8.90625" customWidth="1" style="48" min="5" max="5"/>
    <col width="20.90625" customWidth="1" style="48" min="6" max="6"/>
    <col width="12.26953125" customWidth="1" style="48" min="7" max="7"/>
    <col width="15.7265625" customWidth="1" style="48" min="8" max="8"/>
    <col width="14.54296875" customWidth="1" style="48" min="9" max="9"/>
    <col width="18.08984375" customWidth="1" style="48" min="10" max="10"/>
    <col width="3.6328125" customWidth="1" style="48" min="11" max="12"/>
    <col width="8.7265625" customWidth="1" style="48" min="13" max="13"/>
    <col width="10.453125" customWidth="1" style="48" min="14" max="14"/>
    <col width="8.7265625" customWidth="1" style="48" min="15" max="16384"/>
  </cols>
  <sheetData>
    <row r="1" ht="34" customHeight="1">
      <c r="A1" s="202" t="inlineStr">
        <is>
          <t>ใบเสร็จรับเงิน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4" t="n"/>
    </row>
    <row r="2" ht="22" customHeight="1">
      <c r="A2" s="205" t="inlineStr">
        <is>
          <t>RECEIPT</t>
        </is>
      </c>
      <c r="K2" s="206" t="n"/>
    </row>
    <row r="3" ht="23.5" customHeight="1">
      <c r="A3" s="56" t="n"/>
      <c r="B3" s="143" t="inlineStr">
        <is>
          <t>วิสาหกิจชุมชนกลุ่มพัฒนาคุณภาพชีวิต ตำบลโคกม่วง</t>
        </is>
      </c>
      <c r="C3" s="58" t="n"/>
      <c r="D3" s="59" t="n"/>
      <c r="E3" s="60" t="n"/>
      <c r="F3" s="60" t="n"/>
      <c r="G3" s="60" t="n"/>
      <c r="H3" s="60" t="n"/>
      <c r="I3" s="60" t="n"/>
      <c r="J3" s="35" t="n"/>
      <c r="K3" s="57" t="n"/>
      <c r="M3" s="36" t="n"/>
    </row>
    <row r="4" ht="27" customHeight="1">
      <c r="A4" s="56" t="n"/>
      <c r="B4" s="144" t="inlineStr">
        <is>
          <t>Khok Muang Subdistrict Community Enterprise for Quality of Life Development</t>
        </is>
      </c>
      <c r="C4" s="58" t="n"/>
      <c r="D4" s="61" t="n"/>
      <c r="E4" s="60" t="n"/>
      <c r="F4" s="60" t="n"/>
      <c r="G4" s="60" t="n"/>
      <c r="H4" s="60" t="n"/>
      <c r="I4" s="62" t="n"/>
      <c r="J4" s="37" t="n"/>
      <c r="K4" s="57" t="n"/>
      <c r="M4" s="38" t="inlineStr">
        <is>
          <t>รหัสลูกค้า</t>
        </is>
      </c>
      <c r="N4" s="39">
        <f>IFERROR(INDEX(สรุปใบแจ้งหนี้!C:C,MATCH(ใบแจ้งหนี้!J5,สรุปใบแจ้งหนี้!B:B,0),1),"")</f>
        <v/>
      </c>
    </row>
    <row r="5">
      <c r="A5" s="56" t="n"/>
      <c r="B5" s="34" t="inlineStr">
        <is>
          <t>5 หมู่ 8 ตำบลโคกม่วง  อำเภอภาชี  จังหวัดพระนครศรีอยุธยา  13140</t>
        </is>
      </c>
      <c r="C5" s="58" t="n"/>
      <c r="D5" s="61" t="n"/>
      <c r="E5" s="60" t="n"/>
      <c r="F5" s="60" t="n"/>
      <c r="G5" s="60" t="n"/>
      <c r="H5" s="60" t="n"/>
      <c r="I5" s="63" t="inlineStr">
        <is>
          <t>เลขที่ / Receipt No.</t>
        </is>
      </c>
      <c r="J5" s="64" t="n">
        <v>20260501</v>
      </c>
      <c r="K5" s="57" t="n"/>
      <c r="M5" s="41" t="n">
        <v>1</v>
      </c>
      <c r="N5" s="41">
        <f>M5&amp;" : "&amp;$J$5</f>
        <v/>
      </c>
    </row>
    <row r="6">
      <c r="A6" s="56" t="n"/>
      <c r="B6" s="42" t="inlineStr">
        <is>
          <t>5 Moo.8  Khokmuang , Phachi District, Phra Nakhon Si Ayutthaya 13140</t>
        </is>
      </c>
      <c r="C6" s="58" t="n"/>
      <c r="D6" s="61" t="n"/>
      <c r="E6" s="60" t="n"/>
      <c r="F6" s="60" t="n"/>
      <c r="G6" s="60" t="n"/>
      <c r="H6" s="60" t="n"/>
      <c r="I6" s="63" t="inlineStr">
        <is>
          <t>วันที่ / Date</t>
        </is>
      </c>
      <c r="J6" s="147">
        <f>IFERROR(INDEX(สรุปใบแจ้งหนี้!A:A,MATCH(ใบแจ้งหนี้!J5,สรุปใบแจ้งหนี้!B:B,0),1),"")</f>
        <v/>
      </c>
      <c r="K6" s="57" t="n"/>
      <c r="M6" s="41" t="n">
        <v>2</v>
      </c>
      <c r="N6" s="41">
        <f>M6&amp;" : "&amp;$J$5</f>
        <v/>
      </c>
    </row>
    <row r="7">
      <c r="A7" s="56" t="n"/>
      <c r="B7" s="63" t="inlineStr">
        <is>
          <t>เลขประจำตัวผู้เสียภาษี / Tax ID</t>
        </is>
      </c>
      <c r="E7" s="66" t="inlineStr">
        <is>
          <t>099-2-00447041-2</t>
        </is>
      </c>
      <c r="F7" s="66" t="n"/>
      <c r="G7" s="47" t="n"/>
      <c r="H7" s="47" t="n"/>
      <c r="I7" s="63" t="inlineStr">
        <is>
          <t xml:space="preserve">เงื่อนไขชำระ(วัน) / </t>
        </is>
      </c>
      <c r="J7" s="69">
        <f>IF(D11&lt;&gt;"",30,"")</f>
        <v/>
      </c>
      <c r="K7" s="57" t="n"/>
      <c r="M7" s="44" t="n">
        <v>3</v>
      </c>
      <c r="N7" s="41">
        <f>M7&amp;" : "&amp;$J$5</f>
        <v/>
      </c>
    </row>
    <row r="8">
      <c r="A8" s="56" t="n"/>
      <c r="B8" s="68" t="n"/>
      <c r="C8" s="68" t="n"/>
      <c r="D8" s="68" t="n"/>
      <c r="E8" s="68" t="n"/>
      <c r="F8" s="68" t="n"/>
      <c r="G8" s="68" t="n"/>
      <c r="H8" s="68" t="n"/>
      <c r="I8" s="63" t="inlineStr">
        <is>
          <t>Terms</t>
        </is>
      </c>
      <c r="J8" s="148" t="n"/>
      <c r="K8" s="57" t="n"/>
      <c r="M8" s="44" t="n">
        <v>4</v>
      </c>
      <c r="N8" s="41">
        <f>M8&amp;" : "&amp;$J$5</f>
        <v/>
      </c>
    </row>
    <row r="9">
      <c r="A9" s="56" t="n"/>
      <c r="B9" s="47" t="n"/>
      <c r="C9" s="47" t="n"/>
      <c r="D9" s="47" t="n"/>
      <c r="E9" s="47" t="n"/>
      <c r="F9" s="47" t="n"/>
      <c r="G9" s="47" t="n"/>
      <c r="H9" s="47" t="n"/>
      <c r="I9" s="70" t="inlineStr">
        <is>
          <t>วันครบกำหนด /</t>
        </is>
      </c>
      <c r="J9" s="149">
        <f>IFERROR(J7+J6-1,"")</f>
        <v/>
      </c>
      <c r="K9" s="57" t="n"/>
      <c r="M9" s="44" t="n">
        <v>5</v>
      </c>
      <c r="N9" s="41">
        <f>M9&amp;" : "&amp;$J$5</f>
        <v/>
      </c>
    </row>
    <row r="10">
      <c r="A10" s="56" t="n"/>
      <c r="D10" s="47" t="n"/>
      <c r="E10" s="47" t="n"/>
      <c r="F10" s="47" t="n"/>
      <c r="G10" s="47" t="n"/>
      <c r="H10" s="47" t="n"/>
      <c r="I10" s="70" t="inlineStr">
        <is>
          <t>Due Date</t>
        </is>
      </c>
      <c r="J10" s="148" t="n"/>
      <c r="K10" s="57" t="n"/>
      <c r="M10" s="44" t="n">
        <v>6</v>
      </c>
      <c r="N10" s="41">
        <f>M10&amp;" : "&amp;$J$5</f>
        <v/>
      </c>
    </row>
    <row r="11">
      <c r="A11" s="56" t="n"/>
      <c r="B11" s="63" t="inlineStr">
        <is>
          <t>ลูกค้า / Customer</t>
        </is>
      </c>
      <c r="D11" s="52">
        <f>IFERROR(INDEX(ข้อมูลลูกค้า!B:B,MATCH($N$4,ข้อมูลลูกค้า!$A:$A,0))&amp;"   "&amp;INDEX(ข้อมูลลูกค้า!C:C,MATCH($N$4,ข้อมูลลูกค้า!$A:$A,0)),"")</f>
        <v/>
      </c>
      <c r="E11" s="52" t="n"/>
      <c r="F11" s="52" t="n"/>
      <c r="G11" s="52" t="n"/>
      <c r="H11" s="52" t="n"/>
      <c r="K11" s="57" t="n"/>
      <c r="M11" s="44" t="n">
        <v>7</v>
      </c>
      <c r="N11" s="41">
        <f>M11&amp;" : "&amp;$J$5</f>
        <v/>
      </c>
    </row>
    <row r="12">
      <c r="A12" s="56" t="n"/>
      <c r="B12" s="63" t="inlineStr">
        <is>
          <t>ที่อยู่ / Address</t>
        </is>
      </c>
      <c r="D12" s="52">
        <f>IFERROR(INDEX(ข้อมูลลูกค้า!D:D,MATCH($N$4,ข้อมูลลูกค้า!$A:$A,0)),"")</f>
        <v/>
      </c>
      <c r="E12" s="73" t="n"/>
      <c r="F12" s="73" t="n"/>
      <c r="G12" s="73" t="n"/>
      <c r="H12" s="73" t="n"/>
      <c r="K12" s="57" t="n"/>
    </row>
    <row r="13">
      <c r="A13" s="56" t="n"/>
      <c r="B13" s="63" t="inlineStr">
        <is>
          <t>ติดต่อ / Contact</t>
        </is>
      </c>
      <c r="D13" s="150">
        <f>IFERROR(INDEX(ข้อมูลลูกค้า!E:E,MATCH($N$4,ข้อมูลลูกค้า!$A:$A,0)),"")</f>
        <v/>
      </c>
      <c r="E13" s="75" t="n"/>
      <c r="F13" s="75" t="n"/>
      <c r="G13" s="75" t="n"/>
      <c r="H13" s="75" t="n"/>
      <c r="J13" s="63" t="n"/>
      <c r="K13" s="76" t="n"/>
      <c r="L13" s="67" t="n"/>
      <c r="M13" s="38" t="n"/>
    </row>
    <row r="14">
      <c r="A14" s="56" t="n"/>
      <c r="B14" s="63" t="inlineStr">
        <is>
          <t>เลขประจำตัวผู้เสียภาษี / Tax ID</t>
        </is>
      </c>
      <c r="D14" s="77" t="n"/>
      <c r="E14" s="150">
        <f>IFERROR(INDEX(ข้อมูลลูกค้า!F:F,MATCH($N$4,ข้อมูลลูกค้า!$A:$A,0)),"")</f>
        <v/>
      </c>
      <c r="F14" s="150" t="n"/>
      <c r="G14" s="150" t="n"/>
      <c r="H14" s="75" t="n"/>
      <c r="K14" s="57" t="n"/>
      <c r="M14" s="44" t="n"/>
      <c r="N14" s="46" t="n"/>
    </row>
    <row r="15">
      <c r="A15" s="56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78" t="n"/>
      <c r="L15" s="47" t="n"/>
      <c r="M15" s="67" t="n"/>
      <c r="N15" s="46" t="n"/>
    </row>
    <row r="16">
      <c r="A16" s="56" t="n"/>
      <c r="B16" s="79" t="inlineStr">
        <is>
          <t>ลำดับ</t>
        </is>
      </c>
      <c r="C16" s="81" t="inlineStr">
        <is>
          <t>โครงการ</t>
        </is>
      </c>
      <c r="D16" s="81" t="inlineStr">
        <is>
          <t>รหัสสินค้า</t>
        </is>
      </c>
      <c r="E16" s="151" t="inlineStr">
        <is>
          <t>รายการ</t>
        </is>
      </c>
      <c r="F16" s="152" t="n"/>
      <c r="G16" s="153" t="n"/>
      <c r="H16" s="79" t="inlineStr">
        <is>
          <t>จำนวนหน่วย</t>
        </is>
      </c>
      <c r="I16" s="79" t="inlineStr">
        <is>
          <t>ราคาต่อหน่วย</t>
        </is>
      </c>
      <c r="J16" s="79" t="inlineStr">
        <is>
          <t>จำนวนเงิน</t>
        </is>
      </c>
      <c r="K16" s="57" t="n"/>
      <c r="M16" s="67" t="n"/>
      <c r="N16" s="46" t="n"/>
    </row>
    <row r="17">
      <c r="A17" s="56" t="n"/>
      <c r="B17" s="84" t="inlineStr">
        <is>
          <t>No.</t>
        </is>
      </c>
      <c r="C17" s="85" t="inlineStr">
        <is>
          <t>Project</t>
        </is>
      </c>
      <c r="D17" s="85" t="inlineStr">
        <is>
          <t>Part Number</t>
        </is>
      </c>
      <c r="E17" s="154" t="inlineStr">
        <is>
          <t>Description</t>
        </is>
      </c>
      <c r="F17" s="155" t="n"/>
      <c r="G17" s="156" t="n"/>
      <c r="H17" s="84" t="inlineStr">
        <is>
          <t>Delivery Quantity</t>
        </is>
      </c>
      <c r="I17" s="84" t="inlineStr">
        <is>
          <t>Value</t>
        </is>
      </c>
      <c r="J17" s="84" t="inlineStr">
        <is>
          <t>Amount</t>
        </is>
      </c>
      <c r="K17" s="57" t="n"/>
      <c r="M17" s="67" t="n"/>
      <c r="N17" s="46" t="n"/>
    </row>
    <row r="18">
      <c r="A18" s="56" t="n"/>
      <c r="B18" s="89">
        <f>IF(D18&lt;&gt;0,1,"")</f>
        <v/>
      </c>
      <c r="C18" s="90">
        <f>IFERROR(INDEX(สรุปใบแจ้งหนี้!D:D,MATCH(ใบแจ้งหนี้!N5,สรุปใบแจ้งหนี้!G:G,0),1),"")</f>
        <v/>
      </c>
      <c r="D18" s="91">
        <f>IFERROR(INDEX(สรุปใบแจ้งหนี้!E:E,MATCH(ใบแจ้งหนี้!N5,สรุปใบแจ้งหนี้!G:G,0),1),"")</f>
        <v/>
      </c>
      <c r="E18" s="157">
        <f>IFERROR(INDEX(ข้อมูลสินค้า!C:C,MATCH(ใบแจ้งหนี้!D18,ข้อมูลสินค้า!B:B,0),1),"")</f>
        <v/>
      </c>
      <c r="F18" s="158" t="n"/>
      <c r="G18" s="159" t="n"/>
      <c r="H18" s="160">
        <f>IFERROR(INDEX(สรุปใบแจ้งหนี้!F:F,MATCH(ใบแจ้งหนี้!N5,สรุปใบแจ้งหนี้!G:G,0),1),"")</f>
        <v/>
      </c>
      <c r="I18" s="161">
        <f>IFERROR(INDEX(ข้อมูลสินค้า!D:D,MATCH(D18,ข้อมูลสินค้า!B:B,0),1),"")</f>
        <v/>
      </c>
      <c r="J18" s="162">
        <f>IF(ISBLANK(I18),"",(IFERROR(H18*I18,"")))</f>
        <v/>
      </c>
      <c r="K18" s="98" t="n"/>
      <c r="L18" s="41" t="n"/>
      <c r="M18" s="67" t="n"/>
      <c r="N18" s="46" t="n"/>
    </row>
    <row r="19">
      <c r="A19" s="56" t="n"/>
      <c r="B19" s="99">
        <f>IF(D19&lt;&gt;"",B18+1,"")</f>
        <v/>
      </c>
      <c r="C19" s="90">
        <f>IFERROR(INDEX(สรุปใบแจ้งหนี้!D:D,MATCH(ใบแจ้งหนี้!N6,สรุปใบแจ้งหนี้!G:G,0),1),"")</f>
        <v/>
      </c>
      <c r="D19" s="90">
        <f>IFERROR(INDEX(สรุปใบแจ้งหนี้!E:E,MATCH(ใบแจ้งหนี้!N6,สรุปใบแจ้งหนี้!G:G,0),1),"")</f>
        <v/>
      </c>
      <c r="E19" s="163">
        <f>IFERROR(INDEX(ข้อมูลสินค้า!C:C,MATCH(ใบแจ้งหนี้!D19,ข้อมูลสินค้า!B:B,0),1),"")</f>
        <v/>
      </c>
      <c r="F19" s="164" t="n"/>
      <c r="G19" s="165" t="n"/>
      <c r="H19" s="166">
        <f>IFERROR(INDEX(สรุปใบแจ้งหนี้!F:F,MATCH(ใบแจ้งหนี้!N6,สรุปใบแจ้งหนี้!G:G,0),1),"")</f>
        <v/>
      </c>
      <c r="I19" s="167">
        <f>IFERROR(INDEX(ข้อมูลสินค้า!D:D,MATCH(D19,ข้อมูลสินค้า!B:B,0),1),"")</f>
        <v/>
      </c>
      <c r="J19" s="168">
        <f>IF(ISBLANK(I19),"",(IFERROR(H19*I19,"")))</f>
        <v/>
      </c>
      <c r="K19" s="98" t="n"/>
      <c r="L19" s="41" t="n"/>
      <c r="M19" s="67" t="n"/>
      <c r="N19" s="46" t="n"/>
    </row>
    <row r="20">
      <c r="A20" s="56" t="n"/>
      <c r="B20" s="106">
        <f>IF(D20&lt;&gt;"",B19+1,"")</f>
        <v/>
      </c>
      <c r="C20" s="169">
        <f>IFERROR(INDEX(สรุปใบแจ้งหนี้!D:D,MATCH(ใบแจ้งหนี้!N7,สรุปใบแจ้งหนี้!G:G,0),1),"")</f>
        <v/>
      </c>
      <c r="D20" s="90" t="n"/>
      <c r="E20" s="170">
        <f>IFERROR(INDEX(ข้อมูลสินค้า!C:C,MATCH(ใบแจ้งหนี้!D20,ข้อมูลสินค้า!B:B,0),1),"")</f>
        <v/>
      </c>
      <c r="F20" s="164" t="n"/>
      <c r="G20" s="165" t="n"/>
      <c r="H20" s="166" t="n"/>
      <c r="I20" s="167">
        <f>IFERROR(INDEX(ข้อมูลสินค้า!D:D,MATCH(D20,ข้อมูลสินค้า!B:B,0),1),"")</f>
        <v/>
      </c>
      <c r="J20" s="168">
        <f>IF(ISBLANK(I20),"",(IFERROR(H20*I20,"")))</f>
        <v/>
      </c>
      <c r="K20" s="57" t="n"/>
      <c r="M20" s="49" t="n"/>
      <c r="N20" s="46" t="n"/>
    </row>
    <row r="21">
      <c r="A21" s="56" t="n"/>
      <c r="B21" s="106">
        <f>IF(C21&lt;&gt;"",B20+1,"")</f>
        <v/>
      </c>
      <c r="C21" s="90">
        <f>IFERROR(INDEX(สรุปใบแจ้งหนี้!D:D,MATCH(ใบแจ้งหนี้!N8,สรุปใบแจ้งหนี้!G:G,0),1),"")</f>
        <v/>
      </c>
      <c r="D21" s="90">
        <f>IFERROR(INDEX(สรุปใบแจ้งหนี้!E:E,MATCH(ใบแจ้งหนี้!N8,สรุปใบแจ้งหนี้!G:G,0),1),"")</f>
        <v/>
      </c>
      <c r="E21" s="163">
        <f>IFERROR(INDEX(ข้อมูลสินค้า!C:C,MATCH(ใบแจ้งหนี้!C21,ข้อมูลสินค้า!B:B,0),1),"")</f>
        <v/>
      </c>
      <c r="F21" s="164" t="n"/>
      <c r="G21" s="165" t="n"/>
      <c r="H21" s="166">
        <f>IFERROR(INDEX(สรุปใบแจ้งหนี้!F:F,MATCH(ใบแจ้งหนี้!N8,สรุปใบแจ้งหนี้!G:G,0),1),"")</f>
        <v/>
      </c>
      <c r="I21" s="167">
        <f>IFERROR(INDEX(ข้อมูลสินค้า!D:D,MATCH(C21,ข้อมูลสินค้า!B:B,0),1),"")</f>
        <v/>
      </c>
      <c r="J21" s="168">
        <f>IF(ISBLANK(I21),"",(IFERROR(H21*I21,"")))</f>
        <v/>
      </c>
      <c r="K21" s="57" t="n"/>
      <c r="M21" s="47" t="n"/>
    </row>
    <row r="22">
      <c r="A22" s="56" t="n"/>
      <c r="B22" s="106">
        <f>IF(C22&lt;&gt;"",B21+1,"")</f>
        <v/>
      </c>
      <c r="C22" s="90">
        <f>IFERROR(INDEX(สรุปใบแจ้งหนี้!D:D,MATCH(ใบแจ้งหนี้!N9,สรุปใบแจ้งหนี้!G:G,0),1),"")</f>
        <v/>
      </c>
      <c r="D22" s="90">
        <f>IFERROR(INDEX(สรุปใบแจ้งหนี้!E:E,MATCH(ใบแจ้งหนี้!N9,สรุปใบแจ้งหนี้!G:G,0),1),"")</f>
        <v/>
      </c>
      <c r="E22" s="163">
        <f>IFERROR(INDEX(ข้อมูลสินค้า!C:C,MATCH(ใบแจ้งหนี้!C22,ข้อมูลสินค้า!B:B,0),1),"")</f>
        <v/>
      </c>
      <c r="F22" s="164" t="n"/>
      <c r="G22" s="165" t="n"/>
      <c r="H22" s="166">
        <f>IFERROR(INDEX(สรุปใบแจ้งหนี้!F:F,MATCH(ใบแจ้งหนี้!N9,สรุปใบแจ้งหนี้!G:G,0),1),"")</f>
        <v/>
      </c>
      <c r="I22" s="167">
        <f>IFERROR(INDEX(ข้อมูลสินค้า!D:D,MATCH(C22,ข้อมูลสินค้า!B:B,0),1),"")</f>
        <v/>
      </c>
      <c r="J22" s="168">
        <f>IF(ISBLANK(I22),"",(IFERROR(H22*I22,"")))</f>
        <v/>
      </c>
      <c r="K22" s="57" t="n"/>
      <c r="M22" s="47" t="n"/>
    </row>
    <row r="23">
      <c r="A23" s="56" t="n"/>
      <c r="B23" s="106">
        <f>IF(C23&lt;&gt;"",B22+1,"")</f>
        <v/>
      </c>
      <c r="C23" s="90">
        <f>IFERROR(INDEX(สรุปใบแจ้งหนี้!D:D,MATCH(ใบแจ้งหนี้!N10,สรุปใบแจ้งหนี้!G:G,0),1),"")</f>
        <v/>
      </c>
      <c r="D23" s="90">
        <f>IFERROR(INDEX(สรุปใบแจ้งหนี้!E:E,MATCH(ใบแจ้งหนี้!N10,สรุปใบแจ้งหนี้!G:G,0),1),"")</f>
        <v/>
      </c>
      <c r="E23" s="163">
        <f>IFERROR(INDEX(ข้อมูลสินค้า!C:C,MATCH(ใบแจ้งหนี้!C23,ข้อมูลสินค้า!B:B,0),1),"")</f>
        <v/>
      </c>
      <c r="F23" s="164" t="n"/>
      <c r="G23" s="165" t="n"/>
      <c r="H23" s="166">
        <f>IFERROR(INDEX(สรุปใบแจ้งหนี้!F:F,MATCH(ใบแจ้งหนี้!N10,สรุปใบแจ้งหนี้!G:G,0),1),"")</f>
        <v/>
      </c>
      <c r="I23" s="167">
        <f>IFERROR(INDEX(ข้อมูลสินค้า!D:D,MATCH(C23,ข้อมูลสินค้า!B:B,0),1),"")</f>
        <v/>
      </c>
      <c r="J23" s="168">
        <f>IF(ISBLANK(I23),"",(IFERROR(H23*I23,"")))</f>
        <v/>
      </c>
      <c r="K23" s="57" t="n"/>
      <c r="M23" s="47" t="n"/>
    </row>
    <row r="24">
      <c r="A24" s="56" t="n"/>
      <c r="B24" s="106">
        <f>IF(C24&lt;&gt;"",B23+1,"")</f>
        <v/>
      </c>
      <c r="C24" s="90">
        <f>IFERROR(INDEX(สรุปใบแจ้งหนี้!D:D,MATCH(ใบแจ้งหนี้!N11,สรุปใบแจ้งหนี้!G:G,0),1),"")</f>
        <v/>
      </c>
      <c r="D24" s="90">
        <f>IFERROR(INDEX(สรุปใบแจ้งหนี้!E:E,MATCH(ใบแจ้งหนี้!N11,สรุปใบแจ้งหนี้!G:G,0),1),"")</f>
        <v/>
      </c>
      <c r="E24" s="163">
        <f>IFERROR(INDEX(ข้อมูลสินค้า!C:C,MATCH(ใบแจ้งหนี้!C24,ข้อมูลสินค้า!B:B,0),1),"")</f>
        <v/>
      </c>
      <c r="F24" s="164" t="n"/>
      <c r="G24" s="165" t="n"/>
      <c r="H24" s="166">
        <f>IFERROR(INDEX(สรุปใบแจ้งหนี้!F:F,MATCH(ใบแจ้งหนี้!N11,สรุปใบแจ้งหนี้!G:G,0),1),"")</f>
        <v/>
      </c>
      <c r="I24" s="167">
        <f>IFERROR(INDEX(ข้อมูลสินค้า!D:D,MATCH(C24,ข้อมูลสินค้า!B:B,0),1),"")</f>
        <v/>
      </c>
      <c r="J24" s="168">
        <f>IF(ISBLANK(I24),"",(IFERROR(H24*I24,"")))</f>
        <v/>
      </c>
      <c r="K24" s="57" t="n"/>
      <c r="M24" s="47" t="n"/>
    </row>
    <row r="25">
      <c r="A25" s="56" t="n"/>
      <c r="B25" s="106">
        <f>IF(C25&lt;&gt;"",B24+1,"")</f>
        <v/>
      </c>
      <c r="C25" s="90">
        <f>IFERROR(INDEX(สรุปใบแจ้งหนี้!D:D,MATCH(ใบแจ้งหนี้!#REF!,สรุปใบแจ้งหนี้!G:G,0),1),"")</f>
        <v/>
      </c>
      <c r="D25" s="90">
        <f>IFERROR(INDEX(สรุปใบแจ้งหนี้!E:E,MATCH(ใบแจ้งหนี้!#REF!,สรุปใบแจ้งหนี้!G:G,0),1),"")</f>
        <v/>
      </c>
      <c r="E25" s="163">
        <f>IFERROR(INDEX(ข้อมูลสินค้า!C:C,MATCH(ใบแจ้งหนี้!C25,ข้อมูลสินค้า!B:B,0),1),"")</f>
        <v/>
      </c>
      <c r="F25" s="164" t="n"/>
      <c r="G25" s="165" t="n"/>
      <c r="H25" s="166">
        <f>IFERROR(INDEX(สรุปใบแจ้งหนี้!F:F,MATCH(ใบแจ้งหนี้!#REF!,สรุปใบแจ้งหนี้!G:G,0),1),"")</f>
        <v/>
      </c>
      <c r="I25" s="167">
        <f>IFERROR(INDEX(ข้อมูลสินค้า!D:D,MATCH(C25,ข้อมูลสินค้า!B:B,0),1),"")</f>
        <v/>
      </c>
      <c r="J25" s="168">
        <f>IF(ISBLANK(I25),"",(IFERROR(H25*I25,"")))</f>
        <v/>
      </c>
      <c r="K25" s="57" t="n"/>
      <c r="M25" s="47" t="n"/>
    </row>
    <row r="26">
      <c r="A26" s="56" t="n"/>
      <c r="B26" s="106">
        <f>IF(C26&lt;&gt;"",B25+1,"")</f>
        <v/>
      </c>
      <c r="C26" s="90">
        <f>IFERROR(INDEX(สรุปใบแจ้งหนี้!D:D,MATCH(ใบแจ้งหนี้!N15,สรุปใบแจ้งหนี้!G:G,0),1),"")</f>
        <v/>
      </c>
      <c r="D26" s="90">
        <f>IFERROR(INDEX(สรุปใบแจ้งหนี้!E:E,MATCH(ใบแจ้งหนี้!N15,สรุปใบแจ้งหนี้!G:G,0),1),"")</f>
        <v/>
      </c>
      <c r="E26" s="163">
        <f>IFERROR(INDEX(ข้อมูลสินค้า!C:C,MATCH(ใบแจ้งหนี้!C26,ข้อมูลสินค้า!B:B,0),1),"")</f>
        <v/>
      </c>
      <c r="F26" s="164" t="n"/>
      <c r="G26" s="165" t="n"/>
      <c r="H26" s="166">
        <f>IFERROR(INDEX(สรุปใบแจ้งหนี้!F:F,MATCH(ใบแจ้งหนี้!N15,สรุปใบแจ้งหนี้!G:G,0),1),"")</f>
        <v/>
      </c>
      <c r="I26" s="167">
        <f>IFERROR(INDEX(ข้อมูลสินค้า!D:D,MATCH(C26,ข้อมูลสินค้า!B:B,0),1),"")</f>
        <v/>
      </c>
      <c r="J26" s="168">
        <f>IF(ISBLANK(I26),"",(IFERROR(H26*I26,"")))</f>
        <v/>
      </c>
      <c r="K26" s="57" t="n"/>
      <c r="M26" s="47" t="n"/>
    </row>
    <row r="27">
      <c r="A27" s="56" t="n"/>
      <c r="B27" s="106">
        <f>IF(C27&lt;&gt;"",B26+1,"")</f>
        <v/>
      </c>
      <c r="C27" s="90">
        <f>IFERROR(INDEX(สรุปใบแจ้งหนี้!D:D,MATCH(ใบแจ้งหนี้!N16,สรุปใบแจ้งหนี้!G:G,0),1),"")</f>
        <v/>
      </c>
      <c r="D27" s="90">
        <f>IFERROR(INDEX(สรุปใบแจ้งหนี้!E:E,MATCH(ใบแจ้งหนี้!N16,สรุปใบแจ้งหนี้!G:G,0),1),"")</f>
        <v/>
      </c>
      <c r="E27" s="163">
        <f>IFERROR(INDEX(ข้อมูลสินค้า!C:C,MATCH(ใบแจ้งหนี้!C27,ข้อมูลสินค้า!B:B,0),1),"")</f>
        <v/>
      </c>
      <c r="F27" s="164" t="n"/>
      <c r="G27" s="165" t="n"/>
      <c r="H27" s="166">
        <f>IFERROR(INDEX(สรุปใบแจ้งหนี้!F:F,MATCH(ใบแจ้งหนี้!N16,สรุปใบแจ้งหนี้!G:G,0),1),"")</f>
        <v/>
      </c>
      <c r="I27" s="167">
        <f>IFERROR(INDEX(ข้อมูลสินค้า!D:D,MATCH(C27,ข้อมูลสินค้า!B:B,0),1),"")</f>
        <v/>
      </c>
      <c r="J27" s="168">
        <f>IF(ISBLANK(I27),"",(IFERROR(H27*I27,"")))</f>
        <v/>
      </c>
      <c r="K27" s="57" t="n"/>
      <c r="M27" s="47" t="n"/>
    </row>
    <row r="28">
      <c r="A28" s="56" t="n"/>
      <c r="B28" s="106">
        <f>IF(C28&lt;&gt;"",B27+1,"")</f>
        <v/>
      </c>
      <c r="C28" s="90">
        <f>IFERROR(INDEX(สรุปใบแจ้งหนี้!D:D,MATCH(ใบแจ้งหนี้!Q4,สรุปใบแจ้งหนี้!G:G,0),1),"")</f>
        <v/>
      </c>
      <c r="D28" s="90">
        <f>IFERROR(INDEX(สรุปใบแจ้งหนี้!E:E,MATCH(ใบแจ้งหนี้!Q4,สรุปใบแจ้งหนี้!G:G,0),1),"")</f>
        <v/>
      </c>
      <c r="E28" s="163">
        <f>IFERROR(INDEX(ข้อมูลสินค้า!C:C,MATCH(ใบแจ้งหนี้!C28,ข้อมูลสินค้า!B:B,0),1),"")</f>
        <v/>
      </c>
      <c r="F28" s="164" t="n"/>
      <c r="G28" s="165" t="n"/>
      <c r="H28" s="166">
        <f>IFERROR(INDEX(สรุปใบแจ้งหนี้!F:F,MATCH(ใบแจ้งหนี้!Q4,สรุปใบแจ้งหนี้!G:G,0),1),"")</f>
        <v/>
      </c>
      <c r="I28" s="167">
        <f>IFERROR(INDEX(ข้อมูลสินค้า!D:D,MATCH(C28,ข้อมูลสินค้า!B:B,0),1),"")</f>
        <v/>
      </c>
      <c r="J28" s="168">
        <f>IF(ISBLANK(I28),"",(IFERROR(H28*I28,"")))</f>
        <v/>
      </c>
      <c r="K28" s="57" t="n"/>
      <c r="M28" s="47" t="n"/>
    </row>
    <row r="29">
      <c r="A29" s="56" t="n"/>
      <c r="B29" s="111">
        <f>IF(C29&lt;&gt;"",B28+1,"")</f>
        <v/>
      </c>
      <c r="C29" s="90">
        <f>IFERROR(INDEX(สรุปใบแจ้งหนี้!D:D,MATCH(ใบแจ้งหนี้!N18,สรุปใบแจ้งหนี้!G:G,0),1),"")</f>
        <v/>
      </c>
      <c r="D29" s="90">
        <f>IFERROR(INDEX(สรุปใบแจ้งหนี้!E:E,MATCH(ใบแจ้งหนี้!N18,สรุปใบแจ้งหนี้!G:G,0),1),"")</f>
        <v/>
      </c>
      <c r="E29" s="171">
        <f>IFERROR(INDEX(ข้อมูลสินค้า!C:C,MATCH(ใบแจ้งหนี้!C29,ข้อมูลสินค้า!B:B,0),1),"")</f>
        <v/>
      </c>
      <c r="F29" s="172" t="n"/>
      <c r="G29" s="173" t="n"/>
      <c r="H29" s="174">
        <f>IFERROR(INDEX(สรุปใบแจ้งหนี้!F:F,MATCH(ใบแจ้งหนี้!N18,สรุปใบแจ้งหนี้!G:G,0),1),"")</f>
        <v/>
      </c>
      <c r="I29" s="175">
        <f>IFERROR(INDEX(ข้อมูลสินค้า!D:D,MATCH(C29,ข้อมูลสินค้า!B:B,0),1),"")</f>
        <v/>
      </c>
      <c r="J29" s="176">
        <f>IF(ISBLANK(I29),"",(IFERROR(H29*I29,"")))</f>
        <v/>
      </c>
      <c r="K29" s="57" t="n"/>
      <c r="M29" s="47" t="n"/>
    </row>
    <row r="30">
      <c r="A30" s="56" t="n"/>
      <c r="B30" s="118" t="inlineStr">
        <is>
          <t>หมายเหตุ :</t>
        </is>
      </c>
      <c r="C30" s="119" t="n"/>
      <c r="D30" s="120" t="n"/>
      <c r="E30" s="120" t="n"/>
      <c r="F30" s="120" t="n"/>
      <c r="G30" s="120" t="n"/>
      <c r="H30" s="120" t="n"/>
      <c r="I30" s="121" t="inlineStr">
        <is>
          <t>รวมยอด Grand Total</t>
        </is>
      </c>
      <c r="J30" s="177">
        <f>SUM(J18:J29)</f>
        <v/>
      </c>
      <c r="K30" s="57" t="n"/>
      <c r="M30" s="47" t="n"/>
    </row>
    <row r="31">
      <c r="A31" s="56" t="n"/>
      <c r="B31" s="142" t="inlineStr">
        <is>
          <t>1.กรณีชำระเงินโดยเช็คกรุณาสั่งจ่ายเช็คขีดคร่อมในนาม "วิสาหกิจชุมชนกลุ่มพัฒนาคุณภาพชีวิต ตำบลโคกม่วง" เท่านั้น</t>
        </is>
      </c>
      <c r="D31" s="123" t="n"/>
      <c r="E31" s="123" t="n"/>
      <c r="F31" s="123" t="n"/>
      <c r="G31" s="123" t="n"/>
      <c r="H31" s="124" t="n"/>
      <c r="I31" s="123" t="inlineStr">
        <is>
          <t>ภาษีหัก ณ ที่จ่าย 3%</t>
        </is>
      </c>
      <c r="J31" s="178">
        <f>J30*0.03</f>
        <v/>
      </c>
      <c r="K31" s="57" t="n"/>
      <c r="M31" s="47" t="n"/>
    </row>
    <row r="32">
      <c r="A32" s="56" t="n"/>
      <c r="B32" s="142" t="inlineStr">
        <is>
          <t>2.สินค้าตามรายการข้างต้นแม้จะได้ส่งมอบให้แก่ผู้ซื้อแล้วก็ยังคงเป็นทรัพย์สินของผู้ขายจนกว่าผู้ซื้อจะได้ชำระเงินเรียบร้อยแล้ว</t>
        </is>
      </c>
      <c r="D32" s="123" t="n"/>
      <c r="E32" s="123" t="n"/>
      <c r="F32" s="123" t="n"/>
      <c r="G32" s="123" t="n"/>
      <c r="H32" s="124" t="n"/>
      <c r="I32" s="126" t="inlineStr">
        <is>
          <t>WHT Amount 3%</t>
        </is>
      </c>
      <c r="J32" s="179" t="n"/>
      <c r="K32" s="57" t="n"/>
      <c r="M32" s="47" t="n"/>
    </row>
    <row r="33" ht="22" customHeight="1" thickBot="1">
      <c r="A33" s="56" t="n"/>
      <c r="B33" s="47" t="n"/>
      <c r="D33" s="123" t="n"/>
      <c r="E33" s="123" t="n"/>
      <c r="F33" s="123" t="n"/>
      <c r="G33" s="123" t="n"/>
      <c r="H33" s="124" t="n"/>
      <c r="I33" s="121" t="inlineStr">
        <is>
          <t>ยอดเงินสุทธิ Net Total</t>
        </is>
      </c>
      <c r="J33" s="180">
        <f>J30-J31</f>
        <v/>
      </c>
      <c r="K33" s="57" t="n"/>
      <c r="M33" s="47" t="n"/>
    </row>
    <row r="34" ht="22" customHeight="1" thickTop="1">
      <c r="A34" s="56" t="n"/>
      <c r="B34" s="47" t="n"/>
      <c r="D34" s="123" t="n"/>
      <c r="E34" s="123" t="n"/>
      <c r="F34" s="123" t="n"/>
      <c r="G34" s="123" t="n"/>
      <c r="H34" s="124" t="n"/>
      <c r="I34" s="129" t="n"/>
      <c r="J34" s="181" t="n"/>
      <c r="K34" s="57" t="n"/>
      <c r="M34" s="47" t="n"/>
    </row>
    <row r="35" ht="17" customHeight="1" thickBot="1">
      <c r="A35" s="56" t="n"/>
      <c r="B35" s="131" t="n"/>
      <c r="C35" s="131" t="n"/>
      <c r="D35" s="132" t="n"/>
      <c r="E35" s="132" t="n"/>
      <c r="F35" s="132" t="n"/>
      <c r="G35" s="132" t="n"/>
      <c r="H35" s="132" t="n"/>
      <c r="I35" s="132" t="n"/>
      <c r="J35" s="132" t="n"/>
      <c r="K35" s="78" t="n"/>
      <c r="L35" s="47" t="n"/>
      <c r="M35" s="47" t="n"/>
    </row>
    <row r="36" ht="17" customHeight="1" thickTop="1">
      <c r="A36" s="56" t="n"/>
      <c r="D36" s="133" t="n"/>
      <c r="E36" s="47" t="n"/>
      <c r="F36" s="47" t="n"/>
      <c r="G36" s="47" t="n"/>
      <c r="H36" s="133" t="n"/>
      <c r="I36" s="47" t="n"/>
      <c r="J36" s="47" t="n"/>
      <c r="K36" s="78" t="n"/>
      <c r="L36" s="47" t="n"/>
      <c r="M36" s="47" t="n"/>
    </row>
    <row r="37" ht="17" customHeight="1">
      <c r="A37" s="56" t="n"/>
      <c r="D37" s="47" t="n"/>
      <c r="E37" s="47" t="n"/>
      <c r="F37" s="47" t="n"/>
      <c r="G37" s="47" t="n"/>
      <c r="H37" s="47" t="n"/>
      <c r="I37" s="47" t="n"/>
      <c r="J37" s="47" t="n"/>
      <c r="K37" s="78" t="n"/>
      <c r="L37" s="47" t="n"/>
      <c r="M37" s="47" t="n"/>
    </row>
    <row r="38" ht="21.5" customHeight="1">
      <c r="A38" s="56" t="n"/>
      <c r="B38" s="63" t="inlineStr">
        <is>
          <t>การชำระเงิน / Payment</t>
        </is>
      </c>
      <c r="C38" s="134" t="n"/>
      <c r="D38" s="134" t="n"/>
      <c r="E38" s="47" t="n"/>
      <c r="F38" s="47" t="n"/>
      <c r="G38" s="47" t="n"/>
      <c r="H38" s="135" t="inlineStr">
        <is>
          <t>ผู้จ่ายเงิน Paid by</t>
        </is>
      </c>
      <c r="J38" s="134" t="inlineStr">
        <is>
          <t>ผู้รับเงิน Received by</t>
        </is>
      </c>
      <c r="K38" s="78" t="n"/>
      <c r="L38" s="47" t="n"/>
      <c r="M38" s="47" t="n"/>
    </row>
    <row r="39">
      <c r="A39" s="56" t="n"/>
      <c r="B39" s="40" t="inlineStr">
        <is>
          <t>ธนาคาร / Bank :</t>
        </is>
      </c>
      <c r="D39" s="51" t="inlineStr">
        <is>
          <t xml:space="preserve">ธนาคารเพื่อการเกษตรและสหกรณ์การเกษตร </t>
        </is>
      </c>
      <c r="E39" s="47" t="n"/>
      <c r="G39" s="47" t="n"/>
      <c r="H39" s="47" t="n"/>
      <c r="I39" s="47" t="n"/>
      <c r="J39" s="182" t="inlineStr">
        <is>
          <t>Soonthree M.</t>
        </is>
      </c>
      <c r="K39" s="78" t="n"/>
      <c r="L39" s="47" t="n"/>
      <c r="M39" s="47" t="n"/>
    </row>
    <row r="40" ht="16.5" customHeight="1">
      <c r="A40" s="56" t="n"/>
      <c r="C40" s="47" t="n"/>
      <c r="D40" s="43" t="inlineStr">
        <is>
          <t>Bank for Agriculture and Agricultural Co-operatives</t>
        </is>
      </c>
      <c r="H40" s="52" t="n"/>
      <c r="I40" s="47" t="n"/>
      <c r="J40" s="148" t="n"/>
      <c r="K40" s="57" t="n"/>
      <c r="M40" s="47" t="n"/>
    </row>
    <row r="41" ht="28.5" customHeight="1">
      <c r="A41" s="56" t="n"/>
      <c r="B41" s="50" t="inlineStr">
        <is>
          <t>ชื่อบัญชี / Bank Name :</t>
        </is>
      </c>
      <c r="C41" s="136" t="n"/>
      <c r="D41" s="43" t="inlineStr">
        <is>
          <t>วิสาหกิจชุมชนกลุ่มพัฒนาคุณภาพชีวิต ตำบลโคกม่วง</t>
        </is>
      </c>
      <c r="H41" s="52" t="n"/>
      <c r="J41" s="183">
        <f>TODAY()</f>
        <v/>
      </c>
      <c r="K41" s="57" t="n"/>
      <c r="M41" s="47" t="n"/>
    </row>
    <row r="42" ht="18.5" customHeight="1">
      <c r="A42" s="56" t="n"/>
      <c r="D42" s="43" t="inlineStr">
        <is>
          <t>Khok Muang Subdistrict Community Enterprise for Quality of Life Development</t>
        </is>
      </c>
      <c r="H42" s="138" t="inlineStr">
        <is>
          <t>วันที่ Date</t>
        </is>
      </c>
      <c r="J42" s="138" t="inlineStr">
        <is>
          <t>วันที่ Date</t>
        </is>
      </c>
      <c r="K42" s="57" t="n"/>
      <c r="M42" s="47" t="n"/>
    </row>
    <row r="43">
      <c r="A43" s="56" t="n"/>
      <c r="B43" s="40" t="inlineStr">
        <is>
          <t>เลขที่บัญชี / Bank Account :</t>
        </is>
      </c>
      <c r="D43" s="43" t="inlineStr">
        <is>
          <t>020248885149</t>
        </is>
      </c>
      <c r="K43" s="57" t="n"/>
      <c r="M43" s="47" t="n"/>
    </row>
    <row r="44">
      <c r="A44" s="56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78" t="n"/>
      <c r="L44" s="47" t="n"/>
      <c r="M44" s="47" t="n"/>
    </row>
    <row r="45">
      <c r="A45" s="56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78" t="n"/>
      <c r="L45" s="47" t="n"/>
      <c r="M45" s="47" t="n"/>
    </row>
    <row r="46">
      <c r="A46" s="56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78" t="n"/>
      <c r="L46" s="47" t="n"/>
      <c r="M46" s="47" t="n"/>
    </row>
    <row r="47" ht="22" customHeight="1" thickBot="1">
      <c r="A47" s="139" t="n"/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1" t="n"/>
    </row>
    <row r="50">
      <c r="E50" s="47" t="n"/>
      <c r="F50" s="47" t="n"/>
      <c r="G50" s="47" t="n"/>
      <c r="H50" s="47" t="n"/>
      <c r="K50" s="47" t="n"/>
      <c r="L50" s="47" t="n"/>
    </row>
    <row r="51">
      <c r="H51" s="47" t="n"/>
      <c r="I51" s="52" t="n"/>
      <c r="J51" s="52" t="n"/>
      <c r="K51" s="52" t="n"/>
      <c r="L51" s="47" t="n"/>
    </row>
    <row r="52">
      <c r="E52" s="52" t="n"/>
      <c r="F52" s="47" t="n"/>
      <c r="G52" s="47" t="n"/>
      <c r="H52" s="47" t="n"/>
      <c r="J52" s="52" t="n"/>
      <c r="K52" s="52" t="n"/>
      <c r="L52" s="47" t="n"/>
    </row>
  </sheetData>
  <mergeCells count="20">
    <mergeCell ref="E28:G28"/>
    <mergeCell ref="E19:G19"/>
    <mergeCell ref="J9:J10"/>
    <mergeCell ref="A1:K1"/>
    <mergeCell ref="E27:G27"/>
    <mergeCell ref="E26:G26"/>
    <mergeCell ref="J7:J8"/>
    <mergeCell ref="E25:G25"/>
    <mergeCell ref="E16:G16"/>
    <mergeCell ref="E22:G22"/>
    <mergeCell ref="A2:K2"/>
    <mergeCell ref="E18:G18"/>
    <mergeCell ref="E21:G21"/>
    <mergeCell ref="J31:J32"/>
    <mergeCell ref="E24:G24"/>
    <mergeCell ref="E23:G23"/>
    <mergeCell ref="E17:G17"/>
    <mergeCell ref="E29:G29"/>
    <mergeCell ref="J39:J40"/>
    <mergeCell ref="E20:G20"/>
  </mergeCells>
  <printOptions horizontalCentered="1"/>
  <pageMargins left="0.2362204724409449" right="0.2362204724409449" top="0.7480314960629921" bottom="0.7480314960629921" header="0.3937007874015748" footer="0.3149606299212598"/>
  <pageSetup orientation="portrait" paperSize="9" scale="70" horizontalDpi="4294967293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zoomScale="145" zoomScaleNormal="145" workbookViewId="0">
      <selection activeCell="B2" sqref="B2"/>
    </sheetView>
  </sheetViews>
  <sheetFormatPr baseColWidth="8" defaultColWidth="8.6328125" defaultRowHeight="14"/>
  <cols>
    <col width="10.1796875" customWidth="1" style="184" min="1" max="1"/>
    <col width="10.1796875" customWidth="1" style="29" min="2" max="4"/>
    <col width="11.36328125" bestFit="1" customWidth="1" style="29" min="5" max="5"/>
    <col width="10.1796875" customWidth="1" style="29" min="6" max="6"/>
    <col width="12.36328125" customWidth="1" style="29" min="7" max="7"/>
    <col width="8.6328125" customWidth="1" style="25" min="8" max="16384"/>
  </cols>
  <sheetData>
    <row r="1">
      <c r="A1" s="185" t="inlineStr">
        <is>
          <t>Order Date</t>
        </is>
      </c>
      <c r="B1" s="23" t="inlineStr">
        <is>
          <t>เลขที่ใบส่งสินค้า</t>
        </is>
      </c>
      <c r="C1" s="23" t="inlineStr">
        <is>
          <t>รหัสลูกค้า</t>
        </is>
      </c>
      <c r="D1" s="23" t="inlineStr">
        <is>
          <t>โครงการ</t>
        </is>
      </c>
      <c r="E1" s="23" t="inlineStr">
        <is>
          <t>รหัสสินค้า</t>
        </is>
      </c>
      <c r="F1" s="23" t="inlineStr">
        <is>
          <t>จำนวนหน่วย</t>
        </is>
      </c>
      <c r="G1" s="24" t="inlineStr">
        <is>
          <t>Tempt</t>
        </is>
      </c>
    </row>
    <row r="2" ht="15.5" customHeight="1">
      <c r="A2" s="186" t="n">
        <v>46143</v>
      </c>
      <c r="B2" s="27" t="n">
        <v>20260501</v>
      </c>
      <c r="C2" s="27" t="inlineStr">
        <is>
          <t>APT01</t>
        </is>
      </c>
      <c r="D2" s="27" t="inlineStr">
        <is>
          <t>COT091</t>
        </is>
      </c>
      <c r="E2" s="187" t="inlineStr">
        <is>
          <t>MA020-676_A</t>
        </is>
      </c>
      <c r="F2" s="188" t="n">
        <v>6007</v>
      </c>
      <c r="G2" s="29">
        <f>COUNTIF($B$2:B2,B2)&amp;" : "&amp;B2</f>
        <v/>
      </c>
    </row>
    <row r="3" ht="15.5" customHeight="1">
      <c r="A3" s="186" t="n">
        <v>46143</v>
      </c>
      <c r="B3" s="27" t="n">
        <v>20260501</v>
      </c>
      <c r="C3" s="27" t="inlineStr">
        <is>
          <t>APT01</t>
        </is>
      </c>
      <c r="D3" s="27" t="inlineStr">
        <is>
          <t>COT091</t>
        </is>
      </c>
      <c r="E3" s="189" t="inlineStr">
        <is>
          <t>MA020-633_A</t>
        </is>
      </c>
      <c r="F3" s="190" t="n">
        <v>5990</v>
      </c>
      <c r="G3" s="29">
        <f>COUNTIF($B$2:B3,B3)&amp;" : "&amp;B3</f>
        <v/>
      </c>
    </row>
    <row r="4">
      <c r="A4" s="186" t="n">
        <v>46143</v>
      </c>
      <c r="B4" s="27" t="n">
        <v>20260501</v>
      </c>
      <c r="C4" s="27" t="inlineStr">
        <is>
          <t>APT01</t>
        </is>
      </c>
      <c r="D4" s="27" t="n"/>
      <c r="E4" s="31" t="inlineStr">
        <is>
          <t>Transportation fee</t>
        </is>
      </c>
      <c r="F4" s="190" t="n">
        <v>1</v>
      </c>
      <c r="G4" s="29">
        <f>COUNTIF($B$2:B4,B4)&amp;" : "&amp;B4</f>
        <v/>
      </c>
    </row>
    <row r="5" ht="15.5" customHeight="1">
      <c r="A5" s="191" t="n"/>
      <c r="B5" s="31" t="n"/>
      <c r="C5" s="27" t="n"/>
      <c r="D5" s="27" t="n"/>
      <c r="E5" s="187" t="n"/>
      <c r="F5" s="190" t="n"/>
      <c r="G5" s="29">
        <f>COUNTIF($B$2:B5,B5)&amp;" : "&amp;B5</f>
        <v/>
      </c>
    </row>
    <row r="6" ht="15.5" customHeight="1">
      <c r="A6" s="191" t="n"/>
      <c r="B6" s="31" t="n"/>
      <c r="C6" s="27" t="n"/>
      <c r="D6" s="27" t="n"/>
      <c r="E6" s="189" t="n"/>
      <c r="F6" s="190" t="n"/>
      <c r="G6" s="29">
        <f>COUNTIF($B$2:B6,B6)&amp;" : "&amp;B6</f>
        <v/>
      </c>
    </row>
    <row r="7" ht="15.5" customHeight="1">
      <c r="A7" s="191" t="n"/>
      <c r="B7" s="31" t="n"/>
      <c r="C7" s="27" t="n"/>
      <c r="D7" s="187" t="n"/>
      <c r="E7" s="8" t="n"/>
      <c r="F7" s="31" t="n"/>
      <c r="G7" s="29">
        <f>COUNTIF($B$2:B7,B7)&amp;" : "&amp;B7</f>
        <v/>
      </c>
    </row>
    <row r="8" ht="15.5" customHeight="1">
      <c r="A8" s="191" t="n"/>
      <c r="B8" s="31" t="n"/>
      <c r="C8" s="27" t="n"/>
      <c r="D8" s="187" t="n"/>
      <c r="E8" s="8" t="n"/>
      <c r="F8" s="31" t="n"/>
      <c r="G8" s="29">
        <f>COUNTIF($B$2:B8,B8)&amp;" : "&amp;B8</f>
        <v/>
      </c>
    </row>
    <row r="9" ht="15.5" customHeight="1">
      <c r="A9" s="191" t="n"/>
      <c r="B9" s="31" t="n"/>
      <c r="C9" s="27" t="n"/>
      <c r="D9" s="187" t="n"/>
      <c r="E9" s="8" t="n"/>
      <c r="F9" s="31" t="n"/>
      <c r="G9" s="29">
        <f>COUNTIF($B$2:B9,B9)&amp;" : "&amp;B9</f>
        <v/>
      </c>
    </row>
    <row r="10">
      <c r="A10" s="191" t="n"/>
      <c r="B10" s="31" t="n"/>
      <c r="C10" s="31" t="n"/>
      <c r="D10" s="31" t="n"/>
      <c r="E10" s="31" t="n"/>
      <c r="F10" s="31" t="n"/>
      <c r="G10" s="29">
        <f>COUNTIF($B$2:B10,B10)&amp;" : "&amp;B10</f>
        <v/>
      </c>
    </row>
    <row r="11">
      <c r="A11" s="191" t="n"/>
      <c r="B11" s="31" t="n"/>
      <c r="C11" s="31" t="n"/>
      <c r="D11" s="31" t="n"/>
      <c r="E11" s="31" t="n"/>
      <c r="F11" s="31" t="n"/>
      <c r="G11" s="29">
        <f>COUNTIF($B$2:B11,B11)&amp;" : "&amp;B11</f>
        <v/>
      </c>
    </row>
    <row r="12">
      <c r="A12" s="191" t="n"/>
      <c r="B12" s="31" t="n"/>
      <c r="C12" s="31" t="n"/>
      <c r="D12" s="31" t="n"/>
      <c r="E12" s="31" t="n"/>
      <c r="F12" s="31" t="n"/>
      <c r="G12" s="29">
        <f>COUNTIF($B$2:B12,B12)&amp;" : "&amp;B12</f>
        <v/>
      </c>
    </row>
    <row r="13">
      <c r="A13" s="191" t="n"/>
      <c r="B13" s="31" t="n"/>
      <c r="C13" s="31" t="n"/>
      <c r="D13" s="31" t="n"/>
      <c r="E13" s="31" t="n"/>
      <c r="F13" s="31" t="n"/>
      <c r="G13" s="29">
        <f>COUNTIF($B$2:B13,B13)&amp;" : "&amp;B13</f>
        <v/>
      </c>
    </row>
    <row r="14">
      <c r="A14" s="191" t="n"/>
      <c r="B14" s="31" t="n"/>
      <c r="C14" s="31" t="n"/>
      <c r="D14" s="31" t="n"/>
      <c r="E14" s="31" t="n"/>
      <c r="F14" s="31" t="n"/>
      <c r="G14" s="29">
        <f>COUNTIF($B$2:B14,B14)&amp;" : "&amp;B14</f>
        <v/>
      </c>
    </row>
    <row r="15">
      <c r="A15" s="191" t="n"/>
      <c r="B15" s="31" t="n"/>
      <c r="C15" s="31" t="n"/>
      <c r="D15" s="31" t="n"/>
      <c r="E15" s="31" t="n"/>
      <c r="F15" s="31" t="n"/>
      <c r="G15" s="29">
        <f>COUNTIF($B$2:B15,B15)&amp;" : "&amp;B15</f>
        <v/>
      </c>
    </row>
    <row r="16">
      <c r="A16" s="191" t="n"/>
      <c r="B16" s="31" t="n"/>
      <c r="C16" s="31" t="n"/>
      <c r="D16" s="31" t="n"/>
      <c r="E16" s="31" t="n"/>
      <c r="F16" s="31" t="n"/>
      <c r="G16" s="29">
        <f>COUNTIF($B$2:B16,B16)&amp;" : "&amp;B16</f>
        <v/>
      </c>
    </row>
    <row r="17">
      <c r="A17" s="191" t="n"/>
      <c r="B17" s="31" t="n"/>
      <c r="C17" s="31" t="n"/>
      <c r="D17" s="31" t="n"/>
      <c r="E17" s="31" t="n"/>
      <c r="F17" s="31" t="n"/>
      <c r="G17" s="29">
        <f>COUNTIF($B$2:B17,B17)&amp;" : "&amp;B17</f>
        <v/>
      </c>
    </row>
    <row r="18">
      <c r="A18" s="191" t="n"/>
      <c r="B18" s="31" t="n"/>
      <c r="C18" s="31" t="n"/>
      <c r="D18" s="31" t="n"/>
      <c r="E18" s="31" t="n"/>
      <c r="F18" s="31" t="n"/>
      <c r="G18" s="29">
        <f>COUNTIF($B$2:B18,B18)&amp;" : "&amp;B18</f>
        <v/>
      </c>
    </row>
    <row r="19">
      <c r="A19" s="191" t="n"/>
      <c r="B19" s="31" t="n"/>
      <c r="C19" s="31" t="n"/>
      <c r="D19" s="31" t="n"/>
      <c r="E19" s="31" t="n"/>
      <c r="F19" s="31" t="n"/>
      <c r="G19" s="29">
        <f>COUNTIF($B$2:B19,B19)&amp;" : "&amp;B19</f>
        <v/>
      </c>
    </row>
    <row r="20">
      <c r="A20" s="191" t="n"/>
      <c r="B20" s="31" t="n"/>
      <c r="C20" s="31" t="n"/>
      <c r="D20" s="31" t="n"/>
      <c r="E20" s="31" t="n"/>
      <c r="F20" s="31" t="n"/>
      <c r="G20" s="29">
        <f>COUNTIF($B$2:B20,B20)&amp;" : "&amp;B20</f>
        <v/>
      </c>
    </row>
    <row r="21">
      <c r="A21" s="191" t="n"/>
      <c r="B21" s="31" t="n"/>
      <c r="C21" s="31" t="n"/>
      <c r="D21" s="31" t="n"/>
      <c r="E21" s="31" t="n"/>
      <c r="F21" s="31" t="n"/>
      <c r="G21" s="29">
        <f>COUNTIF($B$2:B21,B21)&amp;" : "&amp;B21</f>
        <v/>
      </c>
    </row>
    <row r="22">
      <c r="A22" s="191" t="n"/>
      <c r="B22" s="31" t="n"/>
      <c r="C22" s="31" t="n"/>
      <c r="D22" s="31" t="n"/>
      <c r="E22" s="31" t="n"/>
      <c r="F22" s="31" t="n"/>
      <c r="G22" s="29">
        <f>COUNTIF($B$2:B22,B22)&amp;" : "&amp;B22</f>
        <v/>
      </c>
    </row>
    <row r="23">
      <c r="A23" s="191" t="n"/>
      <c r="B23" s="31" t="n"/>
      <c r="C23" s="31" t="n"/>
      <c r="D23" s="31" t="n"/>
      <c r="E23" s="31" t="n"/>
      <c r="F23" s="31" t="n"/>
      <c r="G23" s="29">
        <f>COUNTIF($B$2:B23,B23)&amp;" : "&amp;B23</f>
        <v/>
      </c>
    </row>
    <row r="24">
      <c r="A24" s="191" t="n"/>
      <c r="B24" s="31" t="n"/>
      <c r="C24" s="31" t="n"/>
      <c r="D24" s="31" t="n"/>
      <c r="E24" s="31" t="n"/>
      <c r="F24" s="31" t="n"/>
      <c r="G24" s="29">
        <f>COUNTIF($B$2:B24,B24)&amp;" : "&amp;B24</f>
        <v/>
      </c>
    </row>
    <row r="25">
      <c r="A25" s="191" t="n"/>
      <c r="B25" s="31" t="n"/>
      <c r="C25" s="31" t="n"/>
      <c r="D25" s="31" t="n"/>
      <c r="E25" s="31" t="n"/>
      <c r="F25" s="31" t="n"/>
      <c r="G25" s="29">
        <f>COUNTIF($B$2:B25,B25)&amp;" : "&amp;B25</f>
        <v/>
      </c>
    </row>
    <row r="26">
      <c r="A26" s="191" t="n"/>
      <c r="B26" s="31" t="n"/>
      <c r="C26" s="31" t="n"/>
      <c r="D26" s="31" t="n"/>
      <c r="E26" s="31" t="n"/>
      <c r="F26" s="31" t="n"/>
      <c r="G26" s="29">
        <f>COUNTIF($B$2:B26,B26)&amp;" : "&amp;B26</f>
        <v/>
      </c>
    </row>
    <row r="27">
      <c r="A27" s="191" t="n"/>
      <c r="B27" s="31" t="n"/>
      <c r="C27" s="31" t="n"/>
      <c r="D27" s="31" t="n"/>
      <c r="E27" s="31" t="n"/>
      <c r="F27" s="31" t="n"/>
      <c r="G27" s="29">
        <f>COUNTIF($B$2:B27,B27)&amp;" : "&amp;B27</f>
        <v/>
      </c>
    </row>
    <row r="28">
      <c r="A28" s="191" t="n"/>
      <c r="B28" s="31" t="n"/>
      <c r="C28" s="31" t="n"/>
      <c r="D28" s="31" t="n"/>
      <c r="E28" s="31" t="n"/>
      <c r="F28" s="31" t="n"/>
      <c r="G28" s="29">
        <f>COUNTIF($B$2:B28,B28)&amp;" : "&amp;B28</f>
        <v/>
      </c>
    </row>
    <row r="29">
      <c r="A29" s="191" t="n"/>
      <c r="B29" s="31" t="n"/>
      <c r="C29" s="31" t="n"/>
      <c r="D29" s="31" t="n"/>
      <c r="E29" s="31" t="n"/>
      <c r="F29" s="31" t="n"/>
      <c r="G29" s="29">
        <f>COUNTIF($B$2:B29,B29)&amp;" : "&amp;B29</f>
        <v/>
      </c>
    </row>
    <row r="30">
      <c r="A30" s="191" t="n"/>
      <c r="B30" s="31" t="n"/>
      <c r="C30" s="31" t="n"/>
      <c r="D30" s="31" t="n"/>
      <c r="E30" s="31" t="n"/>
      <c r="F30" s="31" t="n"/>
      <c r="G30" s="29">
        <f>COUNTIF($B$2:B30,B30)&amp;" : "&amp;B30</f>
        <v/>
      </c>
    </row>
    <row r="31">
      <c r="A31" s="191" t="n"/>
      <c r="B31" s="31" t="n"/>
      <c r="C31" s="31" t="n"/>
      <c r="D31" s="31" t="n"/>
      <c r="E31" s="31" t="n"/>
      <c r="F31" s="31" t="n"/>
      <c r="G31" s="29">
        <f>COUNTIF($B$2:B31,B31)&amp;" : "&amp;B31</f>
        <v/>
      </c>
    </row>
    <row r="32">
      <c r="A32" s="191" t="n"/>
      <c r="B32" s="31" t="n"/>
      <c r="C32" s="31" t="n"/>
      <c r="D32" s="31" t="n"/>
      <c r="E32" s="31" t="n"/>
      <c r="F32" s="31" t="n"/>
      <c r="G32" s="29">
        <f>COUNTIF($B$2:B32,B32)&amp;" : "&amp;B32</f>
        <v/>
      </c>
    </row>
    <row r="33">
      <c r="A33" s="191" t="n"/>
      <c r="B33" s="31" t="n"/>
      <c r="C33" s="31" t="n"/>
      <c r="D33" s="31" t="n"/>
      <c r="E33" s="31" t="n"/>
      <c r="F33" s="31" t="n"/>
      <c r="G33" s="29">
        <f>COUNTIF($B$2:B33,B33)&amp;" : "&amp;B33</f>
        <v/>
      </c>
    </row>
    <row r="34">
      <c r="A34" s="191" t="n"/>
      <c r="B34" s="31" t="n"/>
      <c r="C34" s="31" t="n"/>
      <c r="D34" s="31" t="n"/>
      <c r="E34" s="31" t="n"/>
      <c r="F34" s="31" t="n"/>
      <c r="G34" s="29">
        <f>COUNTIF($B$2:B34,B34)&amp;" : "&amp;B34</f>
        <v/>
      </c>
    </row>
    <row r="35">
      <c r="A35" s="191" t="n"/>
      <c r="B35" s="31" t="n"/>
      <c r="C35" s="31" t="n"/>
      <c r="D35" s="31" t="n"/>
      <c r="E35" s="31" t="n"/>
      <c r="F35" s="31" t="n"/>
      <c r="G35" s="29">
        <f>COUNTIF($B$2:B35,B35)&amp;" : "&amp;B35</f>
        <v/>
      </c>
    </row>
    <row r="36">
      <c r="A36" s="191" t="n"/>
      <c r="B36" s="31" t="n"/>
      <c r="C36" s="31" t="n"/>
      <c r="D36" s="31" t="n"/>
      <c r="E36" s="31" t="n"/>
      <c r="F36" s="31" t="n"/>
      <c r="G36" s="29">
        <f>COUNTIF($B$2:B36,B36)&amp;" : "&amp;B36</f>
        <v/>
      </c>
    </row>
    <row r="37">
      <c r="A37" s="191" t="n"/>
      <c r="B37" s="31" t="n"/>
      <c r="C37" s="31" t="n"/>
      <c r="D37" s="31" t="n"/>
      <c r="E37" s="31" t="n"/>
      <c r="F37" s="31" t="n"/>
      <c r="G37" s="29">
        <f>COUNTIF($B$2:B37,B37)&amp;" : "&amp;B37</f>
        <v/>
      </c>
    </row>
    <row r="38">
      <c r="A38" s="191" t="n"/>
      <c r="B38" s="31" t="n"/>
      <c r="C38" s="31" t="n"/>
      <c r="D38" s="31" t="n"/>
      <c r="E38" s="31" t="n"/>
      <c r="F38" s="31" t="n"/>
      <c r="G38" s="29">
        <f>COUNTIF($B$2:B38,B38)&amp;" : "&amp;B38</f>
        <v/>
      </c>
    </row>
    <row r="39">
      <c r="A39" s="191" t="n"/>
      <c r="B39" s="31" t="n"/>
      <c r="C39" s="31" t="n"/>
      <c r="D39" s="31" t="n"/>
      <c r="E39" s="31" t="n"/>
      <c r="F39" s="31" t="n"/>
      <c r="G39" s="29">
        <f>COUNTIF($B$2:B39,B39)&amp;" : "&amp;B39</f>
        <v/>
      </c>
    </row>
    <row r="40">
      <c r="A40" s="191" t="n"/>
      <c r="B40" s="31" t="n"/>
      <c r="C40" s="31" t="n"/>
      <c r="D40" s="31" t="n"/>
      <c r="E40" s="31" t="n"/>
      <c r="F40" s="31" t="n"/>
      <c r="G40" s="29">
        <f>COUNTIF($B$2:B40,B40)&amp;" : "&amp;B40</f>
        <v/>
      </c>
    </row>
    <row r="41">
      <c r="A41" s="191" t="n"/>
      <c r="B41" s="31" t="n"/>
      <c r="C41" s="31" t="n"/>
      <c r="D41" s="31" t="n"/>
      <c r="E41" s="31" t="n"/>
      <c r="F41" s="31" t="n"/>
      <c r="G41" s="29">
        <f>COUNTIF($B$2:B41,B41)&amp;" : "&amp;B41</f>
        <v/>
      </c>
    </row>
    <row r="42">
      <c r="A42" s="191" t="n"/>
      <c r="B42" s="31" t="n"/>
      <c r="C42" s="31" t="n"/>
      <c r="D42" s="31" t="n"/>
      <c r="E42" s="31" t="n"/>
      <c r="F42" s="31" t="n"/>
      <c r="G42" s="29">
        <f>COUNTIF($B$2:B42,B42)&amp;" : "&amp;B42</f>
        <v/>
      </c>
    </row>
    <row r="43">
      <c r="A43" s="191" t="n"/>
      <c r="B43" s="31" t="n"/>
      <c r="C43" s="31" t="n"/>
      <c r="D43" s="31" t="n"/>
      <c r="E43" s="31" t="n"/>
      <c r="F43" s="31" t="n"/>
      <c r="G43" s="29">
        <f>COUNTIF($B$2:B43,B43)&amp;" : "&amp;B43</f>
        <v/>
      </c>
    </row>
    <row r="44">
      <c r="A44" s="191" t="n"/>
      <c r="B44" s="31" t="n"/>
      <c r="C44" s="31" t="n"/>
      <c r="D44" s="31" t="n"/>
      <c r="E44" s="31" t="n"/>
      <c r="F44" s="31" t="n"/>
      <c r="G44" s="29">
        <f>COUNTIF($B$2:B44,B44)&amp;" : "&amp;B44</f>
        <v/>
      </c>
    </row>
    <row r="45">
      <c r="A45" s="191" t="n"/>
      <c r="B45" s="31" t="n"/>
      <c r="C45" s="31" t="n"/>
      <c r="D45" s="31" t="n"/>
      <c r="E45" s="31" t="n"/>
      <c r="F45" s="31" t="n"/>
      <c r="G45" s="29">
        <f>COUNTIF($B$2:B45,B45)&amp;" : "&amp;B45</f>
        <v/>
      </c>
    </row>
    <row r="46">
      <c r="A46" s="191" t="n"/>
      <c r="B46" s="31" t="n"/>
      <c r="C46" s="31" t="n"/>
      <c r="D46" s="31" t="n"/>
      <c r="E46" s="31" t="n"/>
      <c r="F46" s="31" t="n"/>
      <c r="G46" s="29">
        <f>COUNTIF($B$2:B46,B46)&amp;" : "&amp;B46</f>
        <v/>
      </c>
    </row>
    <row r="47">
      <c r="A47" s="191" t="n"/>
      <c r="B47" s="31" t="n"/>
      <c r="C47" s="31" t="n"/>
      <c r="D47" s="31" t="n"/>
      <c r="E47" s="31" t="n"/>
      <c r="F47" s="31" t="n"/>
      <c r="G47" s="29">
        <f>COUNTIF($B$2:B47,B47)&amp;" : "&amp;B47</f>
        <v/>
      </c>
    </row>
    <row r="48">
      <c r="A48" s="191" t="n"/>
      <c r="B48" s="31" t="n"/>
      <c r="C48" s="31" t="n"/>
      <c r="D48" s="31" t="n"/>
      <c r="E48" s="31" t="n"/>
      <c r="F48" s="31" t="n"/>
      <c r="G48" s="29">
        <f>COUNTIF($B$2:B48,B48)&amp;" : "&amp;B48</f>
        <v/>
      </c>
    </row>
    <row r="49">
      <c r="A49" s="191" t="n"/>
      <c r="B49" s="31" t="n"/>
      <c r="C49" s="31" t="n"/>
      <c r="D49" s="31" t="n"/>
      <c r="E49" s="31" t="n"/>
      <c r="F49" s="31" t="n"/>
      <c r="G49" s="29">
        <f>COUNTIF($B$2:B49,B49)&amp;" : "&amp;B49</f>
        <v/>
      </c>
    </row>
    <row r="50">
      <c r="A50" s="191" t="n"/>
      <c r="B50" s="31" t="n"/>
      <c r="C50" s="31" t="n"/>
      <c r="D50" s="31" t="n"/>
      <c r="E50" s="31" t="n"/>
      <c r="F50" s="31" t="n"/>
      <c r="G50" s="29">
        <f>COUNTIF($B$2:B50,B50)&amp;" : "&amp;B50</f>
        <v/>
      </c>
    </row>
    <row r="51">
      <c r="A51" s="191" t="n"/>
      <c r="B51" s="31" t="n"/>
      <c r="C51" s="31" t="n"/>
      <c r="D51" s="31" t="n"/>
      <c r="E51" s="31" t="n"/>
      <c r="F51" s="31" t="n"/>
      <c r="G51" s="29">
        <f>COUNTIF($B$2:B51,B51)&amp;" : "&amp;B51</f>
        <v/>
      </c>
    </row>
    <row r="52">
      <c r="A52" s="191" t="n"/>
      <c r="B52" s="31" t="n"/>
      <c r="C52" s="31" t="n"/>
      <c r="D52" s="31" t="n"/>
      <c r="E52" s="31" t="n"/>
      <c r="F52" s="31" t="n"/>
      <c r="G52" s="29">
        <f>COUNTIF($B$2:B52,B52)&amp;" : "&amp;B52</f>
        <v/>
      </c>
    </row>
    <row r="53">
      <c r="A53" s="191" t="n"/>
      <c r="B53" s="31" t="n"/>
      <c r="C53" s="31" t="n"/>
      <c r="D53" s="31" t="n"/>
      <c r="E53" s="31" t="n"/>
      <c r="F53" s="31" t="n"/>
      <c r="G53" s="29">
        <f>COUNTIF($B$2:B53,B53)&amp;" : "&amp;B53</f>
        <v/>
      </c>
    </row>
    <row r="54">
      <c r="A54" s="191" t="n"/>
      <c r="B54" s="31" t="n"/>
      <c r="C54" s="31" t="n"/>
      <c r="D54" s="31" t="n"/>
      <c r="E54" s="31" t="n"/>
      <c r="F54" s="31" t="n"/>
      <c r="G54" s="29">
        <f>COUNTIF($B$2:B54,B54)&amp;" : "&amp;B54</f>
        <v/>
      </c>
    </row>
    <row r="55">
      <c r="A55" s="191" t="n"/>
      <c r="B55" s="31" t="n"/>
      <c r="C55" s="31" t="n"/>
      <c r="D55" s="31" t="n"/>
      <c r="E55" s="31" t="n"/>
      <c r="F55" s="31" t="n"/>
      <c r="G55" s="29">
        <f>COUNTIF($B$2:B55,B55)&amp;" : "&amp;B55</f>
        <v/>
      </c>
    </row>
    <row r="56">
      <c r="A56" s="191" t="n"/>
      <c r="B56" s="31" t="n"/>
      <c r="C56" s="31" t="n"/>
      <c r="D56" s="31" t="n"/>
      <c r="E56" s="31" t="n"/>
      <c r="F56" s="31" t="n"/>
      <c r="G56" s="29">
        <f>COUNTIF($B$2:B56,B56)&amp;" : "&amp;B56</f>
        <v/>
      </c>
    </row>
    <row r="57">
      <c r="A57" s="191" t="n"/>
      <c r="B57" s="31" t="n"/>
      <c r="C57" s="31" t="n"/>
      <c r="D57" s="31" t="n"/>
      <c r="E57" s="31" t="n"/>
      <c r="F57" s="31" t="n"/>
      <c r="G57" s="29">
        <f>COUNTIF($B$2:B57,B57)&amp;" : "&amp;B57</f>
        <v/>
      </c>
    </row>
    <row r="58">
      <c r="A58" s="191" t="n"/>
      <c r="B58" s="31" t="n"/>
      <c r="C58" s="31" t="n"/>
      <c r="D58" s="31" t="n"/>
      <c r="E58" s="31" t="n"/>
      <c r="F58" s="31" t="n"/>
      <c r="G58" s="29">
        <f>COUNTIF($B$2:B58,B58)&amp;" : "&amp;B58</f>
        <v/>
      </c>
    </row>
    <row r="59">
      <c r="A59" s="191" t="n"/>
      <c r="B59" s="31" t="n"/>
      <c r="C59" s="31" t="n"/>
      <c r="D59" s="31" t="n"/>
      <c r="E59" s="31" t="n"/>
      <c r="F59" s="31" t="n"/>
      <c r="G59" s="29">
        <f>COUNTIF($B$2:B59,B59)&amp;" : "&amp;B59</f>
        <v/>
      </c>
    </row>
    <row r="60">
      <c r="A60" s="191" t="n"/>
      <c r="B60" s="31" t="n"/>
      <c r="C60" s="31" t="n"/>
      <c r="D60" s="31" t="n"/>
      <c r="E60" s="31" t="n"/>
      <c r="F60" s="31" t="n"/>
      <c r="G60" s="29">
        <f>COUNTIF($B$2:B60,B60)&amp;" : "&amp;B60</f>
        <v/>
      </c>
    </row>
    <row r="61">
      <c r="A61" s="191" t="n"/>
      <c r="B61" s="31" t="n"/>
      <c r="C61" s="31" t="n"/>
      <c r="D61" s="31" t="n"/>
      <c r="E61" s="31" t="n"/>
      <c r="F61" s="31" t="n"/>
      <c r="G61" s="29">
        <f>COUNTIF($B$2:B61,B61)&amp;" : "&amp;B61</f>
        <v/>
      </c>
    </row>
    <row r="62">
      <c r="A62" s="191" t="n"/>
      <c r="B62" s="31" t="n"/>
      <c r="C62" s="31" t="n"/>
      <c r="D62" s="31" t="n"/>
      <c r="E62" s="31" t="n"/>
      <c r="F62" s="31" t="n"/>
      <c r="G62" s="29">
        <f>COUNTIF($B$2:B62,B62)&amp;" : "&amp;B62</f>
        <v/>
      </c>
    </row>
    <row r="63">
      <c r="A63" s="191" t="n"/>
      <c r="B63" s="31" t="n"/>
      <c r="C63" s="31" t="n"/>
      <c r="D63" s="31" t="n"/>
      <c r="E63" s="31" t="n"/>
      <c r="F63" s="31" t="n"/>
      <c r="G63" s="29">
        <f>COUNTIF($B$2:B63,B63)&amp;" : "&amp;B63</f>
        <v/>
      </c>
    </row>
    <row r="64">
      <c r="A64" s="191" t="n"/>
      <c r="B64" s="31" t="n"/>
      <c r="C64" s="31" t="n"/>
      <c r="D64" s="31" t="n"/>
      <c r="E64" s="31" t="n"/>
      <c r="F64" s="31" t="n"/>
      <c r="G64" s="29">
        <f>COUNTIF($B$2:B64,B64)&amp;" : "&amp;B64</f>
        <v/>
      </c>
    </row>
    <row r="65">
      <c r="A65" s="191" t="n"/>
      <c r="B65" s="31" t="n"/>
      <c r="C65" s="31" t="n"/>
      <c r="D65" s="31" t="n"/>
      <c r="E65" s="31" t="n"/>
      <c r="F65" s="31" t="n"/>
      <c r="G65" s="29">
        <f>COUNTIF($B$2:B65,B65)&amp;" : "&amp;B65</f>
        <v/>
      </c>
    </row>
    <row r="66">
      <c r="A66" s="191" t="n"/>
      <c r="B66" s="31" t="n"/>
      <c r="C66" s="31" t="n"/>
      <c r="D66" s="31" t="n"/>
      <c r="E66" s="31" t="n"/>
      <c r="F66" s="31" t="n"/>
      <c r="G66" s="29">
        <f>COUNTIF($B$2:B66,B66)&amp;" : "&amp;B66</f>
        <v/>
      </c>
    </row>
    <row r="67">
      <c r="A67" s="191" t="n"/>
      <c r="B67" s="31" t="n"/>
      <c r="C67" s="31" t="n"/>
      <c r="D67" s="31" t="n"/>
      <c r="E67" s="31" t="n"/>
      <c r="F67" s="31" t="n"/>
      <c r="G67" s="29">
        <f>COUNTIF($B$2:B67,B67)&amp;" : "&amp;B67</f>
        <v/>
      </c>
    </row>
    <row r="68">
      <c r="A68" s="191" t="n"/>
      <c r="B68" s="31" t="n"/>
      <c r="C68" s="31" t="n"/>
      <c r="D68" s="31" t="n"/>
      <c r="E68" s="31" t="n"/>
      <c r="F68" s="31" t="n"/>
      <c r="G68" s="29">
        <f>COUNTIF($B$2:B68,B68)&amp;" : "&amp;B68</f>
        <v/>
      </c>
    </row>
    <row r="69">
      <c r="A69" s="191" t="n"/>
      <c r="B69" s="31" t="n"/>
      <c r="C69" s="31" t="n"/>
      <c r="D69" s="31" t="n"/>
      <c r="E69" s="31" t="n"/>
      <c r="F69" s="31" t="n"/>
      <c r="G69" s="29">
        <f>COUNTIF($B$2:B69,B69)&amp;" : "&amp;B69</f>
        <v/>
      </c>
    </row>
    <row r="70">
      <c r="A70" s="191" t="n"/>
      <c r="B70" s="31" t="n"/>
      <c r="C70" s="31" t="n"/>
      <c r="D70" s="31" t="n"/>
      <c r="E70" s="31" t="n"/>
      <c r="F70" s="31" t="n"/>
      <c r="G70" s="29">
        <f>COUNTIF($B$2:B70,B70)&amp;" : "&amp;B70</f>
        <v/>
      </c>
    </row>
    <row r="71">
      <c r="A71" s="191" t="n"/>
      <c r="B71" s="31" t="n"/>
      <c r="C71" s="31" t="n"/>
      <c r="D71" s="31" t="n"/>
      <c r="E71" s="31" t="n"/>
      <c r="F71" s="31" t="n"/>
      <c r="G71" s="29">
        <f>COUNTIF($B$2:B71,B71)&amp;" : "&amp;B71</f>
        <v/>
      </c>
    </row>
    <row r="72">
      <c r="A72" s="191" t="n"/>
      <c r="B72" s="31" t="n"/>
      <c r="C72" s="31" t="n"/>
      <c r="D72" s="31" t="n"/>
      <c r="E72" s="31" t="n"/>
      <c r="F72" s="31" t="n"/>
      <c r="G72" s="29">
        <f>COUNTIF($B$2:B72,B72)&amp;" : "&amp;B72</f>
        <v/>
      </c>
    </row>
    <row r="73">
      <c r="A73" s="191" t="n"/>
      <c r="B73" s="31" t="n"/>
      <c r="C73" s="31" t="n"/>
      <c r="D73" s="31" t="n"/>
      <c r="E73" s="31" t="n"/>
      <c r="F73" s="31" t="n"/>
      <c r="G73" s="29">
        <f>COUNTIF($B$2:B73,B73)&amp;" : "&amp;B73</f>
        <v/>
      </c>
    </row>
    <row r="74">
      <c r="A74" s="191" t="n"/>
      <c r="B74" s="31" t="n"/>
      <c r="C74" s="31" t="n"/>
      <c r="D74" s="31" t="n"/>
      <c r="E74" s="31" t="n"/>
      <c r="F74" s="31" t="n"/>
      <c r="G74" s="29">
        <f>COUNTIF($B$2:B74,B74)&amp;" : "&amp;B74</f>
        <v/>
      </c>
    </row>
    <row r="75">
      <c r="A75" s="191" t="n"/>
      <c r="B75" s="31" t="n"/>
      <c r="C75" s="31" t="n"/>
      <c r="D75" s="31" t="n"/>
      <c r="E75" s="31" t="n"/>
      <c r="F75" s="31" t="n"/>
      <c r="G75" s="29">
        <f>COUNTIF($B$2:B75,B75)&amp;" : "&amp;B75</f>
        <v/>
      </c>
    </row>
    <row r="76">
      <c r="A76" s="191" t="n"/>
      <c r="B76" s="31" t="n"/>
      <c r="C76" s="31" t="n"/>
      <c r="D76" s="31" t="n"/>
      <c r="E76" s="31" t="n"/>
      <c r="F76" s="31" t="n"/>
      <c r="G76" s="29">
        <f>COUNTIF($B$2:B76,B76)&amp;" : "&amp;B76</f>
        <v/>
      </c>
    </row>
    <row r="77">
      <c r="A77" s="191" t="n"/>
      <c r="B77" s="31" t="n"/>
      <c r="C77" s="31" t="n"/>
      <c r="D77" s="31" t="n"/>
      <c r="E77" s="31" t="n"/>
      <c r="F77" s="31" t="n"/>
      <c r="G77" s="29">
        <f>COUNTIF($B$2:B77,B77)&amp;" : "&amp;B77</f>
        <v/>
      </c>
    </row>
    <row r="78">
      <c r="A78" s="191" t="n"/>
      <c r="B78" s="31" t="n"/>
      <c r="C78" s="31" t="n"/>
      <c r="D78" s="31" t="n"/>
      <c r="E78" s="31" t="n"/>
      <c r="F78" s="31" t="n"/>
      <c r="G78" s="29">
        <f>COUNTIF($B$2:B78,B78)&amp;" : "&amp;B78</f>
        <v/>
      </c>
    </row>
    <row r="79">
      <c r="A79" s="191" t="n"/>
      <c r="B79" s="31" t="n"/>
      <c r="C79" s="31" t="n"/>
      <c r="D79" s="31" t="n"/>
      <c r="E79" s="31" t="n"/>
      <c r="F79" s="31" t="n"/>
      <c r="G79" s="29">
        <f>COUNTIF($B$2:B79,B79)&amp;" : "&amp;B79</f>
        <v/>
      </c>
    </row>
    <row r="80">
      <c r="A80" s="191" t="n"/>
      <c r="B80" s="31" t="n"/>
      <c r="C80" s="31" t="n"/>
      <c r="D80" s="31" t="n"/>
      <c r="E80" s="31" t="n"/>
      <c r="F80" s="31" t="n"/>
      <c r="G80" s="29">
        <f>COUNTIF($B$2:B80,B80)&amp;" : "&amp;B80</f>
        <v/>
      </c>
    </row>
    <row r="81">
      <c r="A81" s="191" t="n"/>
      <c r="B81" s="31" t="n"/>
      <c r="C81" s="31" t="n"/>
      <c r="D81" s="31" t="n"/>
      <c r="E81" s="31" t="n"/>
      <c r="F81" s="31" t="n"/>
      <c r="G81" s="29">
        <f>COUNTIF($B$2:B81,B81)&amp;" : "&amp;B81</f>
        <v/>
      </c>
    </row>
    <row r="82">
      <c r="A82" s="191" t="n"/>
      <c r="B82" s="31" t="n"/>
      <c r="C82" s="31" t="n"/>
      <c r="D82" s="31" t="n"/>
      <c r="E82" s="31" t="n"/>
      <c r="F82" s="31" t="n"/>
      <c r="G82" s="29">
        <f>COUNTIF($B$2:B82,B82)&amp;" : "&amp;B82</f>
        <v/>
      </c>
    </row>
    <row r="83">
      <c r="A83" s="191" t="n"/>
      <c r="B83" s="31" t="n"/>
      <c r="C83" s="31" t="n"/>
      <c r="D83" s="31" t="n"/>
      <c r="E83" s="31" t="n"/>
      <c r="F83" s="31" t="n"/>
      <c r="G83" s="29">
        <f>COUNTIF($B$2:B83,B83)&amp;" : "&amp;B83</f>
        <v/>
      </c>
    </row>
    <row r="84">
      <c r="A84" s="191" t="n"/>
      <c r="B84" s="31" t="n"/>
      <c r="C84" s="31" t="n"/>
      <c r="D84" s="31" t="n"/>
      <c r="E84" s="31" t="n"/>
      <c r="F84" s="31" t="n"/>
      <c r="G84" s="29">
        <f>COUNTIF($B$2:B84,B84)&amp;" : "&amp;B84</f>
        <v/>
      </c>
    </row>
    <row r="85">
      <c r="A85" s="191" t="n"/>
      <c r="B85" s="31" t="n"/>
      <c r="C85" s="31" t="n"/>
      <c r="D85" s="31" t="n"/>
      <c r="E85" s="31" t="n"/>
      <c r="F85" s="31" t="n"/>
      <c r="G85" s="29">
        <f>COUNTIF($B$2:B85,B85)&amp;" : "&amp;B85</f>
        <v/>
      </c>
    </row>
    <row r="86">
      <c r="A86" s="191" t="n"/>
      <c r="B86" s="31" t="n"/>
      <c r="C86" s="31" t="n"/>
      <c r="D86" s="31" t="n"/>
      <c r="E86" s="31" t="n"/>
      <c r="F86" s="31" t="n"/>
      <c r="G86" s="29">
        <f>COUNTIF($B$2:B86,B86)&amp;" : "&amp;B86</f>
        <v/>
      </c>
    </row>
    <row r="87">
      <c r="A87" s="191" t="n"/>
      <c r="B87" s="31" t="n"/>
      <c r="C87" s="31" t="n"/>
      <c r="D87" s="31" t="n"/>
      <c r="E87" s="31" t="n"/>
      <c r="F87" s="31" t="n"/>
      <c r="G87" s="29">
        <f>COUNTIF($B$2:B87,B87)&amp;" : "&amp;B87</f>
        <v/>
      </c>
    </row>
    <row r="88">
      <c r="A88" s="191" t="n"/>
      <c r="B88" s="31" t="n"/>
      <c r="C88" s="31" t="n"/>
      <c r="D88" s="31" t="n"/>
      <c r="E88" s="31" t="n"/>
      <c r="F88" s="31" t="n"/>
      <c r="G88" s="29">
        <f>COUNTIF($B$2:B88,B88)&amp;" : "&amp;B88</f>
        <v/>
      </c>
    </row>
    <row r="89">
      <c r="A89" s="191" t="n"/>
      <c r="B89" s="31" t="n"/>
      <c r="C89" s="31" t="n"/>
      <c r="D89" s="31" t="n"/>
      <c r="E89" s="31" t="n"/>
      <c r="F89" s="31" t="n"/>
      <c r="G89" s="29">
        <f>COUNTIF($B$2:B89,B89)&amp;" : "&amp;B89</f>
        <v/>
      </c>
    </row>
    <row r="90">
      <c r="A90" s="191" t="n"/>
      <c r="B90" s="31" t="n"/>
      <c r="C90" s="31" t="n"/>
      <c r="D90" s="31" t="n"/>
      <c r="E90" s="31" t="n"/>
      <c r="F90" s="31" t="n"/>
      <c r="G90" s="29">
        <f>COUNTIF($B$2:B90,B90)&amp;" : "&amp;B90</f>
        <v/>
      </c>
    </row>
    <row r="91">
      <c r="A91" s="191" t="n"/>
      <c r="B91" s="31" t="n"/>
      <c r="C91" s="31" t="n"/>
      <c r="D91" s="31" t="n"/>
      <c r="E91" s="31" t="n"/>
      <c r="F91" s="31" t="n"/>
      <c r="G91" s="29">
        <f>COUNTIF($B$2:B91,B91)&amp;" : "&amp;B91</f>
        <v/>
      </c>
    </row>
    <row r="92">
      <c r="A92" s="191" t="n"/>
      <c r="B92" s="31" t="n"/>
      <c r="C92" s="31" t="n"/>
      <c r="D92" s="31" t="n"/>
      <c r="E92" s="31" t="n"/>
      <c r="F92" s="31" t="n"/>
      <c r="G92" s="29">
        <f>COUNTIF($B$2:B92,B92)&amp;" : "&amp;B92</f>
        <v/>
      </c>
    </row>
    <row r="93">
      <c r="A93" s="191" t="n"/>
      <c r="B93" s="31" t="n"/>
      <c r="C93" s="31" t="n"/>
      <c r="D93" s="31" t="n"/>
      <c r="E93" s="31" t="n"/>
      <c r="F93" s="31" t="n"/>
      <c r="G93" s="29">
        <f>COUNTIF($B$2:B93,B93)&amp;" : "&amp;B93</f>
        <v/>
      </c>
    </row>
    <row r="94">
      <c r="A94" s="191" t="n"/>
      <c r="B94" s="31" t="n"/>
      <c r="C94" s="31" t="n"/>
      <c r="D94" s="31" t="n"/>
      <c r="E94" s="31" t="n"/>
      <c r="F94" s="31" t="n"/>
      <c r="G94" s="29">
        <f>COUNTIF($B$2:B94,B94)&amp;" : "&amp;B94</f>
        <v/>
      </c>
    </row>
    <row r="95">
      <c r="A95" s="191" t="n"/>
      <c r="B95" s="31" t="n"/>
      <c r="C95" s="31" t="n"/>
      <c r="D95" s="31" t="n"/>
      <c r="E95" s="31" t="n"/>
      <c r="F95" s="31" t="n"/>
      <c r="G95" s="29">
        <f>COUNTIF($B$2:B95,B95)&amp;" : "&amp;B95</f>
        <v/>
      </c>
    </row>
    <row r="96">
      <c r="A96" s="191" t="n"/>
      <c r="B96" s="31" t="n"/>
      <c r="C96" s="31" t="n"/>
      <c r="D96" s="31" t="n"/>
      <c r="E96" s="31" t="n"/>
      <c r="F96" s="31" t="n"/>
      <c r="G96" s="29">
        <f>COUNTIF($B$2:B96,B96)&amp;" : "&amp;B96</f>
        <v/>
      </c>
    </row>
    <row r="97">
      <c r="A97" s="191" t="n"/>
      <c r="B97" s="31" t="n"/>
      <c r="C97" s="31" t="n"/>
      <c r="D97" s="31" t="n"/>
      <c r="E97" s="31" t="n"/>
      <c r="F97" s="31" t="n"/>
      <c r="G97" s="29">
        <f>COUNTIF($B$2:B97,B97)&amp;" : "&amp;B97</f>
        <v/>
      </c>
    </row>
    <row r="98">
      <c r="A98" s="191" t="n"/>
      <c r="B98" s="31" t="n"/>
      <c r="C98" s="31" t="n"/>
      <c r="D98" s="31" t="n"/>
      <c r="E98" s="31" t="n"/>
      <c r="F98" s="31" t="n"/>
      <c r="G98" s="29">
        <f>COUNTIF($B$2:B98,B98)&amp;" : "&amp;B98</f>
        <v/>
      </c>
    </row>
    <row r="99">
      <c r="A99" s="191" t="n"/>
      <c r="B99" s="31" t="n"/>
      <c r="C99" s="31" t="n"/>
      <c r="D99" s="31" t="n"/>
      <c r="E99" s="31" t="n"/>
      <c r="F99" s="31" t="n"/>
      <c r="G99" s="29">
        <f>COUNTIF($B$2:B99,B99)&amp;" : "&amp;B99</f>
        <v/>
      </c>
    </row>
    <row r="100">
      <c r="A100" s="191" t="n"/>
      <c r="B100" s="31" t="n"/>
      <c r="C100" s="31" t="n"/>
      <c r="D100" s="31" t="n"/>
      <c r="E100" s="31" t="n"/>
      <c r="F100" s="31" t="n"/>
      <c r="G100" s="29">
        <f>COUNTIF($B$2:B100,B100)&amp;" : "&amp;B100</f>
        <v/>
      </c>
    </row>
    <row r="101">
      <c r="A101" s="191" t="n"/>
      <c r="B101" s="31" t="n"/>
      <c r="C101" s="31" t="n"/>
      <c r="D101" s="31" t="n"/>
      <c r="E101" s="31" t="n"/>
      <c r="F101" s="31" t="n"/>
      <c r="G101" s="29">
        <f>COUNTIF($B$2:B101,B101)&amp;" : "&amp;B101</f>
        <v/>
      </c>
    </row>
    <row r="102">
      <c r="A102" s="191" t="n"/>
      <c r="B102" s="31" t="n"/>
      <c r="C102" s="31" t="n"/>
      <c r="D102" s="31" t="n"/>
      <c r="E102" s="31" t="n"/>
      <c r="F102" s="31" t="n"/>
      <c r="G102" s="29">
        <f>COUNTIF($B$2:B102,B102)&amp;" : "&amp;B102</f>
        <v/>
      </c>
    </row>
    <row r="103">
      <c r="A103" s="191" t="n"/>
      <c r="B103" s="31" t="n"/>
      <c r="C103" s="31" t="n"/>
      <c r="D103" s="31" t="n"/>
      <c r="E103" s="31" t="n"/>
      <c r="F103" s="31" t="n"/>
      <c r="G103" s="29">
        <f>COUNTIF($B$2:B103,B103)&amp;" : "&amp;B103</f>
        <v/>
      </c>
    </row>
    <row r="104">
      <c r="A104" s="191" t="n"/>
      <c r="B104" s="31" t="n"/>
      <c r="C104" s="31" t="n"/>
      <c r="D104" s="31" t="n"/>
      <c r="E104" s="31" t="n"/>
      <c r="F104" s="31" t="n"/>
      <c r="G104" s="29">
        <f>COUNTIF($B$2:B104,B104)&amp;" : "&amp;B104</f>
        <v/>
      </c>
    </row>
    <row r="105">
      <c r="A105" s="191" t="n"/>
      <c r="B105" s="31" t="n"/>
      <c r="C105" s="31" t="n"/>
      <c r="D105" s="31" t="n"/>
      <c r="E105" s="31" t="n"/>
      <c r="F105" s="31" t="n"/>
      <c r="G105" s="29">
        <f>COUNTIF($B$2:B105,B105)&amp;" : "&amp;B105</f>
        <v/>
      </c>
    </row>
    <row r="106">
      <c r="A106" s="191" t="n"/>
      <c r="B106" s="31" t="n"/>
      <c r="C106" s="31" t="n"/>
      <c r="D106" s="31" t="n"/>
      <c r="E106" s="31" t="n"/>
      <c r="F106" s="31" t="n"/>
      <c r="G106" s="29">
        <f>COUNTIF($B$2:B106,B106)&amp;" : "&amp;B106</f>
        <v/>
      </c>
    </row>
    <row r="107">
      <c r="A107" s="191" t="n"/>
      <c r="B107" s="31" t="n"/>
      <c r="C107" s="31" t="n"/>
      <c r="D107" s="31" t="n"/>
      <c r="E107" s="31" t="n"/>
      <c r="F107" s="31" t="n"/>
      <c r="G107" s="29">
        <f>COUNTIF($B$2:B107,B107)&amp;" : "&amp;B107</f>
        <v/>
      </c>
    </row>
    <row r="108">
      <c r="A108" s="191" t="n"/>
      <c r="B108" s="31" t="n"/>
      <c r="C108" s="31" t="n"/>
      <c r="D108" s="31" t="n"/>
      <c r="E108" s="31" t="n"/>
      <c r="F108" s="31" t="n"/>
      <c r="G108" s="29">
        <f>COUNTIF($B$2:B108,B108)&amp;" : "&amp;B108</f>
        <v/>
      </c>
    </row>
    <row r="109">
      <c r="A109" s="191" t="n"/>
      <c r="B109" s="31" t="n"/>
      <c r="C109" s="31" t="n"/>
      <c r="D109" s="31" t="n"/>
      <c r="E109" s="31" t="n"/>
      <c r="F109" s="31" t="n"/>
      <c r="G109" s="29">
        <f>COUNTIF($B$2:B109,B109)&amp;" : "&amp;B109</f>
        <v/>
      </c>
    </row>
    <row r="110">
      <c r="A110" s="191" t="n"/>
      <c r="B110" s="31" t="n"/>
      <c r="C110" s="31" t="n"/>
      <c r="D110" s="31" t="n"/>
      <c r="E110" s="31" t="n"/>
      <c r="F110" s="31" t="n"/>
      <c r="G110" s="29">
        <f>COUNTIF($B$2:B110,B110)&amp;" : "&amp;B110</f>
        <v/>
      </c>
    </row>
    <row r="111">
      <c r="A111" s="191" t="n"/>
      <c r="B111" s="31" t="n"/>
      <c r="C111" s="31" t="n"/>
      <c r="D111" s="31" t="n"/>
      <c r="E111" s="31" t="n"/>
      <c r="F111" s="31" t="n"/>
      <c r="G111" s="29">
        <f>COUNTIF($B$2:B111,B111)&amp;" : "&amp;B111</f>
        <v/>
      </c>
    </row>
    <row r="112">
      <c r="A112" s="191" t="n"/>
      <c r="B112" s="31" t="n"/>
      <c r="C112" s="31" t="n"/>
      <c r="D112" s="31" t="n"/>
      <c r="E112" s="31" t="n"/>
      <c r="F112" s="31" t="n"/>
      <c r="G112" s="29">
        <f>COUNTIF($B$2:B112,B112)&amp;" : "&amp;B112</f>
        <v/>
      </c>
    </row>
    <row r="113">
      <c r="A113" s="191" t="n"/>
      <c r="B113" s="31" t="n"/>
      <c r="C113" s="31" t="n"/>
      <c r="D113" s="31" t="n"/>
      <c r="E113" s="31" t="n"/>
      <c r="F113" s="31" t="n"/>
      <c r="G113" s="29">
        <f>COUNTIF($B$2:B113,B113)&amp;" : "&amp;B113</f>
        <v/>
      </c>
    </row>
    <row r="114">
      <c r="A114" s="191" t="n"/>
      <c r="B114" s="31" t="n"/>
      <c r="C114" s="31" t="n"/>
      <c r="D114" s="31" t="n"/>
      <c r="E114" s="31" t="n"/>
      <c r="F114" s="31" t="n"/>
      <c r="G114" s="29">
        <f>COUNTIF($B$2:B114,B114)&amp;" : "&amp;B114</f>
        <v/>
      </c>
    </row>
    <row r="115">
      <c r="A115" s="191" t="n"/>
      <c r="B115" s="31" t="n"/>
      <c r="C115" s="31" t="n"/>
      <c r="D115" s="31" t="n"/>
      <c r="E115" s="31" t="n"/>
      <c r="F115" s="31" t="n"/>
      <c r="G115" s="29">
        <f>COUNTIF($B$2:B115,B115)&amp;" : "&amp;B115</f>
        <v/>
      </c>
    </row>
    <row r="116">
      <c r="A116" s="191" t="n"/>
      <c r="B116" s="31" t="n"/>
      <c r="C116" s="31" t="n"/>
      <c r="D116" s="31" t="n"/>
      <c r="E116" s="31" t="n"/>
      <c r="F116" s="31" t="n"/>
      <c r="G116" s="29">
        <f>COUNTIF($B$2:B116,B116)&amp;" : "&amp;B116</f>
        <v/>
      </c>
    </row>
    <row r="117">
      <c r="A117" s="191" t="n"/>
      <c r="B117" s="31" t="n"/>
      <c r="C117" s="31" t="n"/>
      <c r="D117" s="31" t="n"/>
      <c r="E117" s="31" t="n"/>
      <c r="F117" s="31" t="n"/>
      <c r="G117" s="29">
        <f>COUNTIF($B$2:B117,B117)&amp;" : "&amp;B117</f>
        <v/>
      </c>
    </row>
    <row r="118">
      <c r="A118" s="191" t="n"/>
      <c r="B118" s="31" t="n"/>
      <c r="C118" s="31" t="n"/>
      <c r="D118" s="31" t="n"/>
      <c r="E118" s="31" t="n"/>
      <c r="F118" s="31" t="n"/>
      <c r="G118" s="29">
        <f>COUNTIF($B$2:B118,B118)&amp;" : "&amp;B118</f>
        <v/>
      </c>
    </row>
    <row r="119">
      <c r="A119" s="191" t="n"/>
      <c r="B119" s="31" t="n"/>
      <c r="C119" s="31" t="n"/>
      <c r="D119" s="31" t="n"/>
      <c r="E119" s="31" t="n"/>
      <c r="F119" s="31" t="n"/>
      <c r="G119" s="29">
        <f>COUNTIF($B$2:B119,B119)&amp;" : "&amp;B119</f>
        <v/>
      </c>
    </row>
    <row r="120">
      <c r="A120" s="191" t="n"/>
      <c r="B120" s="31" t="n"/>
      <c r="C120" s="31" t="n"/>
      <c r="D120" s="31" t="n"/>
      <c r="E120" s="31" t="n"/>
      <c r="F120" s="31" t="n"/>
      <c r="G120" s="29">
        <f>COUNTIF($B$2:B120,B120)&amp;" : "&amp;B120</f>
        <v/>
      </c>
    </row>
    <row r="121">
      <c r="A121" s="191" t="n"/>
      <c r="B121" s="31" t="n"/>
      <c r="C121" s="31" t="n"/>
      <c r="D121" s="31" t="n"/>
      <c r="E121" s="31" t="n"/>
      <c r="F121" s="31" t="n"/>
      <c r="G121" s="29">
        <f>COUNTIF($B$2:B121,B121)&amp;" : "&amp;B121</f>
        <v/>
      </c>
    </row>
    <row r="122">
      <c r="A122" s="191" t="n"/>
      <c r="B122" s="31" t="n"/>
      <c r="C122" s="31" t="n"/>
      <c r="D122" s="31" t="n"/>
      <c r="E122" s="31" t="n"/>
      <c r="F122" s="31" t="n"/>
      <c r="G122" s="29">
        <f>COUNTIF($B$2:B122,B122)&amp;" : "&amp;B122</f>
        <v/>
      </c>
    </row>
    <row r="123">
      <c r="A123" s="191" t="n"/>
      <c r="B123" s="31" t="n"/>
      <c r="C123" s="31" t="n"/>
      <c r="D123" s="31" t="n"/>
      <c r="E123" s="31" t="n"/>
      <c r="F123" s="31" t="n"/>
      <c r="G123" s="29">
        <f>COUNTIF($B$2:B123,B123)&amp;" : "&amp;B123</f>
        <v/>
      </c>
    </row>
    <row r="124">
      <c r="A124" s="191" t="n"/>
      <c r="B124" s="31" t="n"/>
      <c r="C124" s="31" t="n"/>
      <c r="D124" s="31" t="n"/>
      <c r="E124" s="31" t="n"/>
      <c r="F124" s="31" t="n"/>
      <c r="G124" s="29">
        <f>COUNTIF($B$2:B124,B124)&amp;" : "&amp;B124</f>
        <v/>
      </c>
    </row>
    <row r="125">
      <c r="A125" s="191" t="n"/>
      <c r="B125" s="31" t="n"/>
      <c r="C125" s="31" t="n"/>
      <c r="D125" s="31" t="n"/>
      <c r="E125" s="31" t="n"/>
      <c r="F125" s="31" t="n"/>
      <c r="G125" s="29">
        <f>COUNTIF($B$2:B125,B125)&amp;" : "&amp;B125</f>
        <v/>
      </c>
    </row>
    <row r="126">
      <c r="A126" s="191" t="n"/>
      <c r="B126" s="31" t="n"/>
      <c r="C126" s="31" t="n"/>
      <c r="D126" s="31" t="n"/>
      <c r="E126" s="31" t="n"/>
      <c r="F126" s="31" t="n"/>
      <c r="G126" s="29">
        <f>COUNTIF($B$2:B126,B126)&amp;" : "&amp;B126</f>
        <v/>
      </c>
    </row>
    <row r="127">
      <c r="A127" s="191" t="n"/>
      <c r="B127" s="31" t="n"/>
      <c r="C127" s="31" t="n"/>
      <c r="D127" s="31" t="n"/>
      <c r="E127" s="31" t="n"/>
      <c r="F127" s="31" t="n"/>
      <c r="G127" s="29">
        <f>COUNTIF($B$2:B127,B127)&amp;" : "&amp;B127</f>
        <v/>
      </c>
    </row>
    <row r="128">
      <c r="A128" s="191" t="n"/>
      <c r="B128" s="31" t="n"/>
      <c r="C128" s="31" t="n"/>
      <c r="D128" s="31" t="n"/>
      <c r="E128" s="31" t="n"/>
      <c r="F128" s="31" t="n"/>
      <c r="G128" s="29">
        <f>COUNTIF($B$2:B128,B128)&amp;" : "&amp;B128</f>
        <v/>
      </c>
    </row>
    <row r="129">
      <c r="A129" s="191" t="n"/>
      <c r="B129" s="31" t="n"/>
      <c r="C129" s="31" t="n"/>
      <c r="D129" s="31" t="n"/>
      <c r="E129" s="31" t="n"/>
      <c r="F129" s="31" t="n"/>
      <c r="G129" s="29">
        <f>COUNTIF($B$2:B129,B129)&amp;" : "&amp;B129</f>
        <v/>
      </c>
    </row>
    <row r="130">
      <c r="A130" s="191" t="n"/>
      <c r="B130" s="31" t="n"/>
      <c r="C130" s="31" t="n"/>
      <c r="D130" s="31" t="n"/>
      <c r="E130" s="31" t="n"/>
      <c r="F130" s="31" t="n"/>
      <c r="G130" s="29">
        <f>COUNTIF($B$2:B130,B130)&amp;" : "&amp;B130</f>
        <v/>
      </c>
    </row>
    <row r="131">
      <c r="A131" s="191" t="n"/>
      <c r="B131" s="31" t="n"/>
      <c r="C131" s="31" t="n"/>
      <c r="D131" s="31" t="n"/>
      <c r="E131" s="31" t="n"/>
      <c r="F131" s="31" t="n"/>
      <c r="G131" s="29">
        <f>COUNTIF($B$2:B131,B131)&amp;" : "&amp;B131</f>
        <v/>
      </c>
    </row>
    <row r="132">
      <c r="A132" s="191" t="n"/>
      <c r="B132" s="31" t="n"/>
      <c r="C132" s="31" t="n"/>
      <c r="D132" s="31" t="n"/>
      <c r="E132" s="31" t="n"/>
      <c r="F132" s="31" t="n"/>
      <c r="G132" s="29">
        <f>COUNTIF($B$2:B132,B132)&amp;" : "&amp;B132</f>
        <v/>
      </c>
    </row>
    <row r="133">
      <c r="A133" s="191" t="n"/>
      <c r="B133" s="31" t="n"/>
      <c r="C133" s="31" t="n"/>
      <c r="D133" s="31" t="n"/>
      <c r="E133" s="31" t="n"/>
      <c r="F133" s="31" t="n"/>
      <c r="G133" s="29">
        <f>COUNTIF($B$2:B133,B133)&amp;" : "&amp;B133</f>
        <v/>
      </c>
    </row>
    <row r="134">
      <c r="A134" s="191" t="n"/>
      <c r="B134" s="31" t="n"/>
      <c r="C134" s="31" t="n"/>
      <c r="D134" s="31" t="n"/>
      <c r="E134" s="31" t="n"/>
      <c r="F134" s="31" t="n"/>
      <c r="G134" s="29">
        <f>COUNTIF($B$2:B134,B134)&amp;" : "&amp;B134</f>
        <v/>
      </c>
    </row>
    <row r="135">
      <c r="A135" s="191" t="n"/>
      <c r="B135" s="31" t="n"/>
      <c r="C135" s="31" t="n"/>
      <c r="D135" s="31" t="n"/>
      <c r="E135" s="31" t="n"/>
      <c r="F135" s="31" t="n"/>
      <c r="G135" s="29">
        <f>COUNTIF($B$2:B135,B135)&amp;" : "&amp;B135</f>
        <v/>
      </c>
    </row>
    <row r="136">
      <c r="A136" s="191" t="n"/>
      <c r="B136" s="31" t="n"/>
      <c r="C136" s="31" t="n"/>
      <c r="D136" s="31" t="n"/>
      <c r="E136" s="31" t="n"/>
      <c r="F136" s="31" t="n"/>
      <c r="G136" s="29">
        <f>COUNTIF($B$2:B136,B136)&amp;" : "&amp;B136</f>
        <v/>
      </c>
    </row>
    <row r="137">
      <c r="A137" s="191" t="n"/>
      <c r="B137" s="31" t="n"/>
      <c r="C137" s="31" t="n"/>
      <c r="D137" s="31" t="n"/>
      <c r="E137" s="31" t="n"/>
      <c r="F137" s="31" t="n"/>
      <c r="G137" s="29">
        <f>COUNTIF($B$2:B137,B137)&amp;" : "&amp;B137</f>
        <v/>
      </c>
    </row>
    <row r="138">
      <c r="A138" s="191" t="n"/>
      <c r="B138" s="31" t="n"/>
      <c r="C138" s="31" t="n"/>
      <c r="D138" s="31" t="n"/>
      <c r="E138" s="31" t="n"/>
      <c r="F138" s="31" t="n"/>
      <c r="G138" s="29">
        <f>COUNTIF($B$2:B138,B138)&amp;" : "&amp;B138</f>
        <v/>
      </c>
    </row>
    <row r="139">
      <c r="A139" s="191" t="n"/>
      <c r="B139" s="31" t="n"/>
      <c r="C139" s="31" t="n"/>
      <c r="D139" s="31" t="n"/>
      <c r="E139" s="31" t="n"/>
      <c r="F139" s="31" t="n"/>
      <c r="G139" s="29">
        <f>COUNTIF($B$2:B139,B139)&amp;" : "&amp;B139</f>
        <v/>
      </c>
    </row>
    <row r="140">
      <c r="A140" s="191" t="n"/>
      <c r="B140" s="31" t="n"/>
      <c r="C140" s="31" t="n"/>
      <c r="D140" s="31" t="n"/>
      <c r="E140" s="31" t="n"/>
      <c r="F140" s="31" t="n"/>
      <c r="G140" s="29">
        <f>COUNTIF($B$2:B140,B140)&amp;" : "&amp;B140</f>
        <v/>
      </c>
    </row>
    <row r="141">
      <c r="A141" s="191" t="n"/>
      <c r="B141" s="31" t="n"/>
      <c r="C141" s="31" t="n"/>
      <c r="D141" s="31" t="n"/>
      <c r="E141" s="31" t="n"/>
      <c r="F141" s="31" t="n"/>
      <c r="G141" s="29">
        <f>COUNTIF($B$2:B141,B141)&amp;" : "&amp;B141</f>
        <v/>
      </c>
    </row>
    <row r="142">
      <c r="A142" s="191" t="n"/>
      <c r="B142" s="31" t="n"/>
      <c r="C142" s="31" t="n"/>
      <c r="D142" s="31" t="n"/>
      <c r="E142" s="31" t="n"/>
      <c r="F142" s="31" t="n"/>
      <c r="G142" s="29">
        <f>COUNTIF($B$2:B142,B142)&amp;" : "&amp;B142</f>
        <v/>
      </c>
    </row>
    <row r="143">
      <c r="A143" s="191" t="n"/>
      <c r="B143" s="31" t="n"/>
      <c r="C143" s="31" t="n"/>
      <c r="D143" s="31" t="n"/>
      <c r="E143" s="31" t="n"/>
      <c r="F143" s="31" t="n"/>
      <c r="G143" s="29">
        <f>COUNTIF($B$2:B143,B143)&amp;" : "&amp;B143</f>
        <v/>
      </c>
    </row>
    <row r="144">
      <c r="A144" s="191" t="n"/>
      <c r="B144" s="31" t="n"/>
      <c r="C144" s="31" t="n"/>
      <c r="D144" s="31" t="n"/>
      <c r="E144" s="31" t="n"/>
      <c r="F144" s="31" t="n"/>
      <c r="G144" s="29">
        <f>COUNTIF($B$2:B144,B144)&amp;" : "&amp;B144</f>
        <v/>
      </c>
    </row>
    <row r="145">
      <c r="A145" s="191" t="n"/>
      <c r="B145" s="31" t="n"/>
      <c r="C145" s="31" t="n"/>
      <c r="D145" s="31" t="n"/>
      <c r="E145" s="31" t="n"/>
      <c r="F145" s="31" t="n"/>
      <c r="G145" s="29">
        <f>COUNTIF($B$2:B145,B145)&amp;" : "&amp;B145</f>
        <v/>
      </c>
    </row>
    <row r="146">
      <c r="A146" s="191" t="n"/>
      <c r="B146" s="31" t="n"/>
      <c r="C146" s="31" t="n"/>
      <c r="D146" s="31" t="n"/>
      <c r="E146" s="31" t="n"/>
      <c r="F146" s="31" t="n"/>
      <c r="G146" s="29">
        <f>COUNTIF($B$2:B146,B146)&amp;" : "&amp;B146</f>
        <v/>
      </c>
    </row>
    <row r="147">
      <c r="A147" s="191" t="n"/>
      <c r="B147" s="31" t="n"/>
      <c r="C147" s="31" t="n"/>
      <c r="D147" s="31" t="n"/>
      <c r="E147" s="31" t="n"/>
      <c r="F147" s="31" t="n"/>
      <c r="G147" s="29">
        <f>COUNTIF($B$2:B147,B147)&amp;" : "&amp;B147</f>
        <v/>
      </c>
    </row>
    <row r="148">
      <c r="A148" s="191" t="n"/>
      <c r="B148" s="31" t="n"/>
      <c r="C148" s="31" t="n"/>
      <c r="D148" s="31" t="n"/>
      <c r="E148" s="31" t="n"/>
      <c r="F148" s="31" t="n"/>
      <c r="G148" s="29">
        <f>COUNTIF($B$2:B148,B148)&amp;" : "&amp;B148</f>
        <v/>
      </c>
    </row>
    <row r="149">
      <c r="A149" s="191" t="n"/>
      <c r="B149" s="31" t="n"/>
      <c r="C149" s="31" t="n"/>
      <c r="D149" s="31" t="n"/>
      <c r="E149" s="31" t="n"/>
      <c r="F149" s="31" t="n"/>
      <c r="G149" s="29">
        <f>COUNTIF($B$2:B149,B149)&amp;" : "&amp;B149</f>
        <v/>
      </c>
    </row>
    <row r="150">
      <c r="A150" s="191" t="n"/>
      <c r="B150" s="31" t="n"/>
      <c r="C150" s="31" t="n"/>
      <c r="D150" s="31" t="n"/>
      <c r="E150" s="31" t="n"/>
      <c r="F150" s="31" t="n"/>
      <c r="G150" s="29">
        <f>COUNTIF($B$2:B150,B150)&amp;" : "&amp;B150</f>
        <v/>
      </c>
    </row>
    <row r="151">
      <c r="A151" s="191" t="n"/>
      <c r="B151" s="31" t="n"/>
      <c r="C151" s="31" t="n"/>
      <c r="D151" s="31" t="n"/>
      <c r="E151" s="31" t="n"/>
      <c r="F151" s="31" t="n"/>
      <c r="G151" s="29">
        <f>COUNTIF($B$2:B151,B151)&amp;" : "&amp;B151</f>
        <v/>
      </c>
    </row>
    <row r="152">
      <c r="A152" s="191" t="n"/>
      <c r="B152" s="31" t="n"/>
      <c r="C152" s="31" t="n"/>
      <c r="D152" s="31" t="n"/>
      <c r="E152" s="31" t="n"/>
      <c r="F152" s="31" t="n"/>
      <c r="G152" s="29">
        <f>COUNTIF($B$2:B152,B152)&amp;" : "&amp;B152</f>
        <v/>
      </c>
    </row>
    <row r="153">
      <c r="A153" s="191" t="n"/>
      <c r="B153" s="31" t="n"/>
      <c r="C153" s="31" t="n"/>
      <c r="D153" s="31" t="n"/>
      <c r="E153" s="31" t="n"/>
      <c r="F153" s="31" t="n"/>
      <c r="G153" s="29">
        <f>COUNTIF($B$2:B153,B153)&amp;" : "&amp;B153</f>
        <v/>
      </c>
    </row>
    <row r="154">
      <c r="A154" s="191" t="n"/>
      <c r="B154" s="31" t="n"/>
      <c r="C154" s="31" t="n"/>
      <c r="D154" s="31" t="n"/>
      <c r="E154" s="31" t="n"/>
      <c r="F154" s="31" t="n"/>
      <c r="G154" s="29">
        <f>COUNTIF($B$2:B154,B154)&amp;" : "&amp;B154</f>
        <v/>
      </c>
    </row>
    <row r="155">
      <c r="A155" s="191" t="n"/>
      <c r="B155" s="31" t="n"/>
      <c r="C155" s="31" t="n"/>
      <c r="D155" s="31" t="n"/>
      <c r="E155" s="31" t="n"/>
      <c r="F155" s="31" t="n"/>
      <c r="G155" s="29">
        <f>COUNTIF($B$2:B155,B155)&amp;" : "&amp;B155</f>
        <v/>
      </c>
    </row>
    <row r="156">
      <c r="A156" s="191" t="n"/>
      <c r="B156" s="31" t="n"/>
      <c r="C156" s="31" t="n"/>
      <c r="D156" s="31" t="n"/>
      <c r="E156" s="31" t="n"/>
      <c r="F156" s="31" t="n"/>
      <c r="G156" s="29">
        <f>COUNTIF($B$2:B156,B156)&amp;" : "&amp;B156</f>
        <v/>
      </c>
    </row>
    <row r="157">
      <c r="A157" s="191" t="n"/>
      <c r="B157" s="31" t="n"/>
      <c r="C157" s="31" t="n"/>
      <c r="D157" s="31" t="n"/>
      <c r="E157" s="31" t="n"/>
      <c r="F157" s="31" t="n"/>
      <c r="G157" s="29">
        <f>COUNTIF($B$2:B157,B157)&amp;" : "&amp;B157</f>
        <v/>
      </c>
    </row>
    <row r="158">
      <c r="A158" s="191" t="n"/>
      <c r="B158" s="31" t="n"/>
      <c r="C158" s="31" t="n"/>
      <c r="D158" s="31" t="n"/>
      <c r="E158" s="31" t="n"/>
      <c r="F158" s="31" t="n"/>
      <c r="G158" s="29">
        <f>COUNTIF($B$2:B158,B158)&amp;" : "&amp;B158</f>
        <v/>
      </c>
    </row>
    <row r="159">
      <c r="A159" s="191" t="n"/>
      <c r="B159" s="31" t="n"/>
      <c r="C159" s="31" t="n"/>
      <c r="D159" s="31" t="n"/>
      <c r="E159" s="31" t="n"/>
      <c r="F159" s="31" t="n"/>
      <c r="G159" s="29">
        <f>COUNTIF($B$2:B159,B159)&amp;" : "&amp;B159</f>
        <v/>
      </c>
    </row>
    <row r="160">
      <c r="A160" s="191" t="n"/>
      <c r="B160" s="31" t="n"/>
      <c r="C160" s="31" t="n"/>
      <c r="D160" s="31" t="n"/>
      <c r="E160" s="31" t="n"/>
      <c r="F160" s="31" t="n"/>
      <c r="G160" s="29">
        <f>COUNTIF($B$2:B160,B160)&amp;" : "&amp;B160</f>
        <v/>
      </c>
    </row>
    <row r="161">
      <c r="A161" s="191" t="n"/>
      <c r="B161" s="31" t="n"/>
      <c r="C161" s="31" t="n"/>
      <c r="D161" s="31" t="n"/>
      <c r="E161" s="31" t="n"/>
      <c r="F161" s="31" t="n"/>
      <c r="G161" s="29">
        <f>COUNTIF($B$2:B161,B161)&amp;" : "&amp;B161</f>
        <v/>
      </c>
    </row>
    <row r="162">
      <c r="A162" s="191" t="n"/>
      <c r="B162" s="31" t="n"/>
      <c r="C162" s="31" t="n"/>
      <c r="D162" s="31" t="n"/>
      <c r="E162" s="31" t="n"/>
      <c r="F162" s="31" t="n"/>
      <c r="G162" s="29">
        <f>COUNTIF($B$2:B162,B162)&amp;" : "&amp;B162</f>
        <v/>
      </c>
    </row>
    <row r="163">
      <c r="A163" s="191" t="n"/>
      <c r="B163" s="31" t="n"/>
      <c r="C163" s="31" t="n"/>
      <c r="D163" s="31" t="n"/>
      <c r="E163" s="31" t="n"/>
      <c r="F163" s="31" t="n"/>
      <c r="G163" s="29">
        <f>COUNTIF($B$2:B163,B163)&amp;" : "&amp;B163</f>
        <v/>
      </c>
    </row>
    <row r="164">
      <c r="A164" s="191" t="n"/>
      <c r="B164" s="31" t="n"/>
      <c r="C164" s="31" t="n"/>
      <c r="D164" s="31" t="n"/>
      <c r="E164" s="31" t="n"/>
      <c r="F164" s="31" t="n"/>
      <c r="G164" s="29">
        <f>COUNTIF($B$2:B164,B164)&amp;" : "&amp;B164</f>
        <v/>
      </c>
    </row>
    <row r="165">
      <c r="A165" s="191" t="n"/>
      <c r="B165" s="31" t="n"/>
      <c r="C165" s="31" t="n"/>
      <c r="D165" s="31" t="n"/>
      <c r="E165" s="31" t="n"/>
      <c r="F165" s="31" t="n"/>
      <c r="G165" s="29">
        <f>COUNTIF($B$2:B165,B165)&amp;" : "&amp;B165</f>
        <v/>
      </c>
    </row>
    <row r="166">
      <c r="A166" s="191" t="n"/>
      <c r="B166" s="31" t="n"/>
      <c r="C166" s="31" t="n"/>
      <c r="D166" s="31" t="n"/>
      <c r="E166" s="31" t="n"/>
      <c r="F166" s="31" t="n"/>
      <c r="G166" s="29">
        <f>COUNTIF($B$2:B166,B166)&amp;" : "&amp;B166</f>
        <v/>
      </c>
    </row>
    <row r="167">
      <c r="A167" s="191" t="n"/>
      <c r="B167" s="31" t="n"/>
      <c r="C167" s="31" t="n"/>
      <c r="D167" s="31" t="n"/>
      <c r="E167" s="31" t="n"/>
      <c r="F167" s="31" t="n"/>
      <c r="G167" s="29">
        <f>COUNTIF($B$2:B167,B167)&amp;" : "&amp;B167</f>
        <v/>
      </c>
    </row>
    <row r="168">
      <c r="A168" s="191" t="n"/>
      <c r="B168" s="31" t="n"/>
      <c r="C168" s="31" t="n"/>
      <c r="D168" s="31" t="n"/>
      <c r="E168" s="31" t="n"/>
      <c r="F168" s="31" t="n"/>
      <c r="G168" s="29">
        <f>COUNTIF($B$2:B168,B168)&amp;" : "&amp;B168</f>
        <v/>
      </c>
    </row>
    <row r="169">
      <c r="A169" s="191" t="n"/>
      <c r="B169" s="31" t="n"/>
      <c r="C169" s="31" t="n"/>
      <c r="D169" s="31" t="n"/>
      <c r="E169" s="31" t="n"/>
      <c r="F169" s="31" t="n"/>
      <c r="G169" s="29">
        <f>COUNTIF($B$2:B169,B169)&amp;" : "&amp;B169</f>
        <v/>
      </c>
    </row>
    <row r="170">
      <c r="A170" s="191" t="n"/>
      <c r="B170" s="31" t="n"/>
      <c r="C170" s="31" t="n"/>
      <c r="D170" s="31" t="n"/>
      <c r="E170" s="31" t="n"/>
      <c r="F170" s="31" t="n"/>
      <c r="G170" s="29">
        <f>COUNTIF($B$2:B170,B170)&amp;" : "&amp;B170</f>
        <v/>
      </c>
    </row>
    <row r="171">
      <c r="A171" s="191" t="n"/>
      <c r="B171" s="31" t="n"/>
      <c r="C171" s="31" t="n"/>
      <c r="D171" s="31" t="n"/>
      <c r="E171" s="31" t="n"/>
      <c r="F171" s="31" t="n"/>
      <c r="G171" s="29">
        <f>COUNTIF($B$2:B171,B171)&amp;" : "&amp;B171</f>
        <v/>
      </c>
    </row>
    <row r="172">
      <c r="A172" s="191" t="n"/>
      <c r="B172" s="31" t="n"/>
      <c r="C172" s="31" t="n"/>
      <c r="D172" s="31" t="n"/>
      <c r="E172" s="31" t="n"/>
      <c r="F172" s="31" t="n"/>
      <c r="G172" s="29">
        <f>COUNTIF($B$2:B172,B172)&amp;" : "&amp;B172</f>
        <v/>
      </c>
    </row>
    <row r="173">
      <c r="A173" s="191" t="n"/>
      <c r="B173" s="31" t="n"/>
      <c r="C173" s="31" t="n"/>
      <c r="D173" s="31" t="n"/>
      <c r="E173" s="31" t="n"/>
      <c r="F173" s="31" t="n"/>
      <c r="G173" s="29">
        <f>COUNTIF($B$2:B173,B173)&amp;" : "&amp;B173</f>
        <v/>
      </c>
    </row>
    <row r="174">
      <c r="A174" s="191" t="n"/>
      <c r="B174" s="31" t="n"/>
      <c r="C174" s="31" t="n"/>
      <c r="D174" s="31" t="n"/>
      <c r="E174" s="31" t="n"/>
      <c r="F174" s="31" t="n"/>
      <c r="G174" s="29">
        <f>COUNTIF($B$2:B174,B174)&amp;" : "&amp;B174</f>
        <v/>
      </c>
    </row>
    <row r="175">
      <c r="A175" s="191" t="n"/>
      <c r="B175" s="31" t="n"/>
      <c r="C175" s="31" t="n"/>
      <c r="D175" s="31" t="n"/>
      <c r="E175" s="31" t="n"/>
      <c r="F175" s="31" t="n"/>
      <c r="G175" s="29">
        <f>COUNTIF($B$2:B175,B175)&amp;" : "&amp;B175</f>
        <v/>
      </c>
    </row>
    <row r="176">
      <c r="A176" s="191" t="n"/>
      <c r="B176" s="31" t="n"/>
      <c r="C176" s="31" t="n"/>
      <c r="D176" s="31" t="n"/>
      <c r="E176" s="31" t="n"/>
      <c r="F176" s="31" t="n"/>
      <c r="G176" s="29">
        <f>COUNTIF($B$2:B176,B176)&amp;" : "&amp;B176</f>
        <v/>
      </c>
    </row>
    <row r="177">
      <c r="A177" s="191" t="n"/>
      <c r="B177" s="31" t="n"/>
      <c r="C177" s="31" t="n"/>
      <c r="D177" s="31" t="n"/>
      <c r="E177" s="31" t="n"/>
      <c r="F177" s="31" t="n"/>
      <c r="G177" s="29">
        <f>COUNTIF($B$2:B177,B177)&amp;" : "&amp;B177</f>
        <v/>
      </c>
    </row>
    <row r="178">
      <c r="A178" s="191" t="n"/>
      <c r="B178" s="31" t="n"/>
      <c r="C178" s="31" t="n"/>
      <c r="D178" s="31" t="n"/>
      <c r="E178" s="31" t="n"/>
      <c r="F178" s="31" t="n"/>
      <c r="G178" s="29">
        <f>COUNTIF($B$2:B178,B178)&amp;" : "&amp;B178</f>
        <v/>
      </c>
    </row>
    <row r="179">
      <c r="A179" s="191" t="n"/>
      <c r="B179" s="31" t="n"/>
      <c r="C179" s="31" t="n"/>
      <c r="D179" s="31" t="n"/>
      <c r="E179" s="31" t="n"/>
      <c r="F179" s="31" t="n"/>
      <c r="G179" s="29">
        <f>COUNTIF($B$2:B179,B179)&amp;" : "&amp;B179</f>
        <v/>
      </c>
    </row>
    <row r="180">
      <c r="A180" s="191" t="n"/>
      <c r="B180" s="31" t="n"/>
      <c r="C180" s="31" t="n"/>
      <c r="D180" s="31" t="n"/>
      <c r="E180" s="31" t="n"/>
      <c r="F180" s="31" t="n"/>
      <c r="G180" s="29">
        <f>COUNTIF($B$2:B180,B180)&amp;" : "&amp;B180</f>
        <v/>
      </c>
    </row>
    <row r="181">
      <c r="A181" s="191" t="n"/>
      <c r="B181" s="31" t="n"/>
      <c r="C181" s="31" t="n"/>
      <c r="D181" s="31" t="n"/>
      <c r="E181" s="31" t="n"/>
      <c r="F181" s="31" t="n"/>
      <c r="G181" s="29">
        <f>COUNTIF($B$2:B181,B181)&amp;" : "&amp;B181</f>
        <v/>
      </c>
    </row>
    <row r="182">
      <c r="A182" s="191" t="n"/>
      <c r="B182" s="31" t="n"/>
      <c r="C182" s="31" t="n"/>
      <c r="D182" s="31" t="n"/>
      <c r="E182" s="31" t="n"/>
      <c r="F182" s="31" t="n"/>
      <c r="G182" s="29">
        <f>COUNTIF($B$2:B182,B182)&amp;" : "&amp;B182</f>
        <v/>
      </c>
    </row>
    <row r="183">
      <c r="A183" s="191" t="n"/>
      <c r="B183" s="31" t="n"/>
      <c r="C183" s="31" t="n"/>
      <c r="D183" s="31" t="n"/>
      <c r="E183" s="31" t="n"/>
      <c r="F183" s="31" t="n"/>
      <c r="G183" s="29">
        <f>COUNTIF($B$2:B183,B183)&amp;" : "&amp;B183</f>
        <v/>
      </c>
    </row>
    <row r="184">
      <c r="A184" s="191" t="n"/>
      <c r="B184" s="31" t="n"/>
      <c r="C184" s="31" t="n"/>
      <c r="D184" s="31" t="n"/>
      <c r="E184" s="31" t="n"/>
      <c r="F184" s="31" t="n"/>
      <c r="G184" s="29">
        <f>COUNTIF($B$2:B184,B184)&amp;" : "&amp;B184</f>
        <v/>
      </c>
    </row>
    <row r="185">
      <c r="A185" s="191" t="n"/>
      <c r="B185" s="31" t="n"/>
      <c r="C185" s="31" t="n"/>
      <c r="D185" s="31" t="n"/>
      <c r="E185" s="31" t="n"/>
      <c r="F185" s="31" t="n"/>
      <c r="G185" s="29">
        <f>COUNTIF($B$2:B185,B185)&amp;" : "&amp;B185</f>
        <v/>
      </c>
    </row>
    <row r="186">
      <c r="A186" s="191" t="n"/>
      <c r="B186" s="31" t="n"/>
      <c r="C186" s="31" t="n"/>
      <c r="D186" s="31" t="n"/>
      <c r="E186" s="31" t="n"/>
      <c r="F186" s="31" t="n"/>
      <c r="G186" s="29">
        <f>COUNTIF($B$2:B186,B186)&amp;" : "&amp;B186</f>
        <v/>
      </c>
    </row>
    <row r="187">
      <c r="A187" s="191" t="n"/>
      <c r="B187" s="31" t="n"/>
      <c r="C187" s="31" t="n"/>
      <c r="D187" s="31" t="n"/>
      <c r="E187" s="31" t="n"/>
      <c r="F187" s="31" t="n"/>
      <c r="G187" s="29">
        <f>COUNTIF($B$2:B187,B187)&amp;" : "&amp;B187</f>
        <v/>
      </c>
    </row>
    <row r="188">
      <c r="A188" s="191" t="n"/>
      <c r="B188" s="31" t="n"/>
      <c r="C188" s="31" t="n"/>
      <c r="D188" s="31" t="n"/>
      <c r="E188" s="31" t="n"/>
      <c r="F188" s="31" t="n"/>
      <c r="G188" s="29">
        <f>COUNTIF($B$2:B188,B188)&amp;" : "&amp;B188</f>
        <v/>
      </c>
    </row>
    <row r="189">
      <c r="A189" s="191" t="n"/>
      <c r="B189" s="31" t="n"/>
      <c r="C189" s="31" t="n"/>
      <c r="D189" s="31" t="n"/>
      <c r="E189" s="31" t="n"/>
      <c r="F189" s="31" t="n"/>
      <c r="G189" s="29">
        <f>COUNTIF($B$2:B189,B189)&amp;" : "&amp;B189</f>
        <v/>
      </c>
    </row>
    <row r="190">
      <c r="A190" s="191" t="n"/>
      <c r="B190" s="31" t="n"/>
      <c r="C190" s="31" t="n"/>
      <c r="D190" s="31" t="n"/>
      <c r="E190" s="31" t="n"/>
      <c r="F190" s="31" t="n"/>
      <c r="G190" s="29">
        <f>COUNTIF($B$2:B190,B190)&amp;" : "&amp;B190</f>
        <v/>
      </c>
    </row>
    <row r="191">
      <c r="A191" s="191" t="n"/>
      <c r="B191" s="31" t="n"/>
      <c r="C191" s="31" t="n"/>
      <c r="D191" s="31" t="n"/>
      <c r="E191" s="31" t="n"/>
      <c r="F191" s="31" t="n"/>
      <c r="G191" s="29">
        <f>COUNTIF($B$2:B191,B191)&amp;" : "&amp;B191</f>
        <v/>
      </c>
    </row>
    <row r="192">
      <c r="A192" s="191" t="n"/>
      <c r="B192" s="31" t="n"/>
      <c r="C192" s="31" t="n"/>
      <c r="D192" s="31" t="n"/>
      <c r="E192" s="31" t="n"/>
      <c r="F192" s="31" t="n"/>
      <c r="G192" s="29">
        <f>COUNTIF($B$2:B192,B192)&amp;" : "&amp;B192</f>
        <v/>
      </c>
    </row>
    <row r="193">
      <c r="A193" s="191" t="n"/>
      <c r="B193" s="31" t="n"/>
      <c r="C193" s="31" t="n"/>
      <c r="D193" s="31" t="n"/>
      <c r="E193" s="31" t="n"/>
      <c r="F193" s="31" t="n"/>
      <c r="G193" s="29">
        <f>COUNTIF($B$2:B193,B193)&amp;" : "&amp;B193</f>
        <v/>
      </c>
    </row>
    <row r="194">
      <c r="A194" s="191" t="n"/>
      <c r="B194" s="31" t="n"/>
      <c r="C194" s="31" t="n"/>
      <c r="D194" s="31" t="n"/>
      <c r="E194" s="31" t="n"/>
      <c r="F194" s="31" t="n"/>
      <c r="G194" s="29">
        <f>COUNTIF($B$2:B194,B194)&amp;" : "&amp;B194</f>
        <v/>
      </c>
    </row>
    <row r="195">
      <c r="A195" s="191" t="n"/>
      <c r="B195" s="31" t="n"/>
      <c r="C195" s="31" t="n"/>
      <c r="D195" s="31" t="n"/>
      <c r="E195" s="31" t="n"/>
      <c r="F195" s="31" t="n"/>
      <c r="G195" s="29">
        <f>COUNTIF($B$2:B195,B195)&amp;" : "&amp;B195</f>
        <v/>
      </c>
    </row>
    <row r="196">
      <c r="A196" s="191" t="n"/>
      <c r="B196" s="31" t="n"/>
      <c r="C196" s="31" t="n"/>
      <c r="D196" s="31" t="n"/>
      <c r="E196" s="31" t="n"/>
      <c r="F196" s="31" t="n"/>
      <c r="G196" s="29">
        <f>COUNTIF($B$2:B196,B196)&amp;" : "&amp;B196</f>
        <v/>
      </c>
    </row>
    <row r="197">
      <c r="A197" s="191" t="n"/>
      <c r="B197" s="31" t="n"/>
      <c r="C197" s="31" t="n"/>
      <c r="D197" s="31" t="n"/>
      <c r="E197" s="31" t="n"/>
      <c r="F197" s="31" t="n"/>
      <c r="G197" s="29">
        <f>COUNTIF($B$2:B197,B197)&amp;" : "&amp;B197</f>
        <v/>
      </c>
    </row>
    <row r="198">
      <c r="A198" s="191" t="n"/>
      <c r="B198" s="31" t="n"/>
      <c r="C198" s="31" t="n"/>
      <c r="D198" s="31" t="n"/>
      <c r="E198" s="31" t="n"/>
      <c r="F198" s="31" t="n"/>
      <c r="G198" s="29">
        <f>COUNTIF($B$2:B198,B198)&amp;" : "&amp;B198</f>
        <v/>
      </c>
    </row>
    <row r="199">
      <c r="A199" s="191" t="n"/>
      <c r="B199" s="31" t="n"/>
      <c r="C199" s="31" t="n"/>
      <c r="D199" s="31" t="n"/>
      <c r="E199" s="31" t="n"/>
      <c r="F199" s="31" t="n"/>
      <c r="G199" s="29">
        <f>COUNTIF($B$2:B199,B199)&amp;" : "&amp;B199</f>
        <v/>
      </c>
    </row>
    <row r="200">
      <c r="A200" s="191" t="n"/>
      <c r="B200" s="31" t="n"/>
      <c r="C200" s="31" t="n"/>
      <c r="D200" s="31" t="n"/>
      <c r="E200" s="31" t="n"/>
      <c r="F200" s="31" t="n"/>
      <c r="G200" s="29">
        <f>COUNTIF($B$2:B200,B200)&amp;" : "&amp;B200</f>
        <v/>
      </c>
    </row>
  </sheetData>
  <conditionalFormatting sqref="A2:F200">
    <cfRule type="expression" priority="1" dxfId="0">
      <formula>$B2&lt;&gt;$B1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zoomScale="190" zoomScaleNormal="190" workbookViewId="0">
      <selection activeCell="D4" sqref="D4:D8"/>
    </sheetView>
  </sheetViews>
  <sheetFormatPr baseColWidth="8" defaultRowHeight="14.5"/>
  <cols>
    <col width="11.36328125" bestFit="1" customWidth="1" style="192" min="2" max="2"/>
    <col width="15.36328125" bestFit="1" customWidth="1" style="14" min="3" max="3"/>
    <col width="10.08984375" customWidth="1" style="193" min="4" max="4"/>
  </cols>
  <sheetData>
    <row r="1">
      <c r="A1" s="194" t="inlineStr">
        <is>
          <t>โครงการ</t>
        </is>
      </c>
      <c r="B1" s="194" t="inlineStr">
        <is>
          <t>รหัสสินค้า</t>
        </is>
      </c>
      <c r="C1" s="2" t="inlineStr">
        <is>
          <t>ชื่อสินค้า</t>
        </is>
      </c>
      <c r="D1" s="195" t="inlineStr">
        <is>
          <t>ราคาต่อหน่วย</t>
        </is>
      </c>
    </row>
    <row r="2" ht="15.5" customHeight="1">
      <c r="A2" s="187" t="inlineStr">
        <is>
          <t>COT091</t>
        </is>
      </c>
      <c r="B2" s="187" t="inlineStr">
        <is>
          <t>MA020-676_A</t>
        </is>
      </c>
      <c r="C2" s="5" t="inlineStr">
        <is>
          <t>9 Core Long Wire</t>
        </is>
      </c>
      <c r="D2" s="196" t="n">
        <v>0.922</v>
      </c>
    </row>
    <row r="3" ht="15.5" customHeight="1">
      <c r="A3" s="187" t="inlineStr">
        <is>
          <t>COT091</t>
        </is>
      </c>
      <c r="B3" s="189" t="inlineStr">
        <is>
          <t>MA020-633_A</t>
        </is>
      </c>
      <c r="C3" s="8" t="inlineStr">
        <is>
          <t>16 Core Short Wire</t>
        </is>
      </c>
      <c r="D3" s="196" t="n">
        <v>0.307</v>
      </c>
    </row>
    <row r="4" ht="15.5" customHeight="1">
      <c r="A4" s="187" t="inlineStr">
        <is>
          <t>COT092</t>
        </is>
      </c>
      <c r="B4" s="189" t="inlineStr">
        <is>
          <t>MA020-674</t>
        </is>
      </c>
      <c r="C4" s="5" t="inlineStr">
        <is>
          <t>8 Core Long Wire</t>
        </is>
      </c>
      <c r="D4" s="196" t="n">
        <v>0.768</v>
      </c>
    </row>
    <row r="5" ht="15.5" customHeight="1">
      <c r="A5" s="187" t="inlineStr">
        <is>
          <t>COT092</t>
        </is>
      </c>
      <c r="B5" s="189" t="inlineStr">
        <is>
          <t>MA020-676</t>
        </is>
      </c>
      <c r="C5" s="5" t="inlineStr">
        <is>
          <t>9 Core Short Wire</t>
        </is>
      </c>
      <c r="D5" s="196" t="n">
        <v>0.6909999999999999</v>
      </c>
    </row>
    <row r="6" ht="15.5" customHeight="1">
      <c r="A6" s="187" t="inlineStr">
        <is>
          <t>COT102</t>
        </is>
      </c>
      <c r="B6" s="8" t="inlineStr">
        <is>
          <t>5 Core Short Wire</t>
        </is>
      </c>
      <c r="C6" s="8" t="inlineStr">
        <is>
          <t>5 Core Short Wire</t>
        </is>
      </c>
      <c r="D6" s="196" t="n">
        <v>0.154</v>
      </c>
    </row>
    <row r="7" ht="15.5" customHeight="1">
      <c r="A7" s="187" t="inlineStr">
        <is>
          <t>COT102</t>
        </is>
      </c>
      <c r="B7" s="8" t="inlineStr">
        <is>
          <t>5 CoreLong Wire</t>
        </is>
      </c>
      <c r="C7" s="8" t="inlineStr">
        <is>
          <t>5 CoreLong Wire</t>
        </is>
      </c>
      <c r="D7" s="196" t="n">
        <v>0.261</v>
      </c>
    </row>
    <row r="8" ht="15.5" customHeight="1">
      <c r="A8" s="187" t="inlineStr">
        <is>
          <t>COT102</t>
        </is>
      </c>
      <c r="B8" s="8" t="inlineStr">
        <is>
          <t>8 Core Short Wire</t>
        </is>
      </c>
      <c r="C8" s="8" t="inlineStr">
        <is>
          <t>8 Core Short Wire</t>
        </is>
      </c>
      <c r="D8" s="196" t="n">
        <v>0.2</v>
      </c>
    </row>
    <row r="9">
      <c r="B9" s="197" t="inlineStr">
        <is>
          <t>Transportation fee</t>
        </is>
      </c>
      <c r="C9" s="197" t="n"/>
      <c r="D9" s="198" t="n">
        <v>1650</v>
      </c>
    </row>
    <row r="10">
      <c r="B10" s="197" t="n"/>
      <c r="C10" s="10" t="n"/>
      <c r="D10" s="199" t="n"/>
    </row>
    <row r="11">
      <c r="B11" s="197" t="n"/>
      <c r="C11" s="10" t="n"/>
      <c r="D11" s="199" t="n"/>
    </row>
    <row r="12">
      <c r="B12" s="197" t="n"/>
      <c r="C12" s="10" t="n"/>
      <c r="D12" s="199" t="n"/>
    </row>
    <row r="13">
      <c r="B13" s="197" t="n"/>
      <c r="C13" s="10" t="n"/>
      <c r="D13" s="199" t="n"/>
    </row>
    <row r="14">
      <c r="B14" s="197" t="n"/>
      <c r="C14" s="10" t="n"/>
      <c r="D14" s="199" t="n"/>
    </row>
    <row r="15">
      <c r="B15" s="197" t="n"/>
      <c r="C15" s="10" t="n"/>
      <c r="D15" s="199" t="n"/>
    </row>
    <row r="16">
      <c r="B16" s="197" t="n"/>
      <c r="C16" s="10" t="n"/>
      <c r="D16" s="199" t="n"/>
    </row>
    <row r="17">
      <c r="B17" s="197" t="n"/>
      <c r="C17" s="10" t="n"/>
      <c r="D17" s="199" t="n"/>
    </row>
    <row r="18">
      <c r="B18" s="197" t="n"/>
      <c r="C18" s="10" t="n"/>
      <c r="D18" s="199" t="n"/>
    </row>
    <row r="19">
      <c r="B19" s="197" t="n"/>
      <c r="C19" s="10" t="n"/>
      <c r="D19" s="199" t="n"/>
    </row>
    <row r="20">
      <c r="B20" s="197" t="n"/>
      <c r="C20" s="10" t="n"/>
      <c r="D20" s="199" t="n"/>
    </row>
    <row r="21">
      <c r="B21" s="197" t="n"/>
      <c r="C21" s="10" t="n"/>
      <c r="D21" s="199" t="n"/>
    </row>
    <row r="22">
      <c r="B22" s="197" t="n"/>
      <c r="C22" s="10" t="n"/>
      <c r="D22" s="199" t="n"/>
    </row>
    <row r="23">
      <c r="B23" s="197" t="n"/>
      <c r="C23" s="10" t="n"/>
      <c r="D23" s="199" t="n"/>
    </row>
    <row r="24">
      <c r="B24" s="197" t="n"/>
      <c r="C24" s="10" t="n"/>
      <c r="D24" s="199" t="n"/>
    </row>
    <row r="25">
      <c r="B25" s="197" t="n"/>
      <c r="C25" s="10" t="n"/>
      <c r="D25" s="199" t="n"/>
    </row>
    <row r="26">
      <c r="B26" s="197" t="n"/>
      <c r="C26" s="10" t="n"/>
      <c r="D26" s="199" t="n"/>
    </row>
    <row r="27">
      <c r="B27" s="197" t="n"/>
      <c r="C27" s="10" t="n"/>
      <c r="D27" s="199" t="n"/>
    </row>
    <row r="28">
      <c r="B28" s="197" t="n"/>
      <c r="C28" s="10" t="n"/>
      <c r="D28" s="199" t="n"/>
    </row>
    <row r="29">
      <c r="B29" s="197" t="n"/>
      <c r="C29" s="10" t="n"/>
      <c r="D29" s="199" t="n"/>
    </row>
    <row r="30">
      <c r="B30" s="197" t="n"/>
      <c r="C30" s="10" t="n"/>
      <c r="D30" s="199" t="n"/>
    </row>
    <row r="31">
      <c r="B31" s="197" t="n"/>
      <c r="C31" s="10" t="n"/>
      <c r="D31" s="199" t="n"/>
    </row>
    <row r="32">
      <c r="B32" s="197" t="n"/>
      <c r="C32" s="10" t="n"/>
      <c r="D32" s="199" t="n"/>
    </row>
    <row r="33">
      <c r="B33" s="197" t="n"/>
      <c r="C33" s="10" t="n"/>
      <c r="D33" s="199" t="n"/>
    </row>
    <row r="34">
      <c r="B34" s="197" t="n"/>
      <c r="C34" s="10" t="n"/>
      <c r="D34" s="199" t="n"/>
    </row>
    <row r="35">
      <c r="B35" s="197" t="n"/>
      <c r="C35" s="10" t="n"/>
      <c r="D35" s="199" t="n"/>
    </row>
    <row r="36">
      <c r="B36" s="197" t="n"/>
      <c r="C36" s="10" t="n"/>
      <c r="D36" s="199" t="n"/>
    </row>
    <row r="37">
      <c r="B37" s="197" t="n"/>
      <c r="C37" s="10" t="n"/>
      <c r="D37" s="199" t="n"/>
    </row>
    <row r="38">
      <c r="B38" s="197" t="n"/>
      <c r="C38" s="10" t="n"/>
      <c r="D38" s="199" t="n"/>
    </row>
    <row r="39">
      <c r="B39" s="197" t="n"/>
      <c r="C39" s="10" t="n"/>
      <c r="D39" s="199" t="n"/>
    </row>
    <row r="40">
      <c r="B40" s="197" t="n"/>
      <c r="C40" s="10" t="n"/>
      <c r="D40" s="199" t="n"/>
    </row>
    <row r="41">
      <c r="B41" s="197" t="n"/>
      <c r="C41" s="10" t="n"/>
      <c r="D41" s="199" t="n"/>
    </row>
    <row r="42">
      <c r="B42" s="197" t="n"/>
      <c r="C42" s="10" t="n"/>
      <c r="D42" s="199" t="n"/>
    </row>
    <row r="43">
      <c r="B43" s="197" t="n"/>
      <c r="C43" s="10" t="n"/>
      <c r="D43" s="199" t="n"/>
    </row>
    <row r="44">
      <c r="B44" s="197" t="n"/>
      <c r="C44" s="10" t="n"/>
      <c r="D44" s="199" t="n"/>
    </row>
    <row r="45">
      <c r="B45" s="197" t="n"/>
      <c r="C45" s="10" t="n"/>
      <c r="D45" s="199" t="n"/>
    </row>
    <row r="46">
      <c r="B46" s="197" t="n"/>
      <c r="C46" s="10" t="n"/>
      <c r="D46" s="199" t="n"/>
    </row>
    <row r="47">
      <c r="B47" s="197" t="n"/>
      <c r="C47" s="10" t="n"/>
      <c r="D47" s="199" t="n"/>
    </row>
    <row r="48">
      <c r="B48" s="197" t="n"/>
      <c r="C48" s="10" t="n"/>
      <c r="D48" s="199" t="n"/>
    </row>
    <row r="49">
      <c r="B49" s="197" t="n"/>
      <c r="C49" s="10" t="n"/>
      <c r="D49" s="199" t="n"/>
    </row>
    <row r="50">
      <c r="B50" s="197" t="n"/>
      <c r="C50" s="10" t="n"/>
      <c r="D50" s="199" t="n"/>
    </row>
    <row r="51">
      <c r="B51" s="197" t="n"/>
      <c r="C51" s="10" t="n"/>
      <c r="D51" s="199" t="n"/>
    </row>
    <row r="52">
      <c r="B52" s="197" t="n"/>
      <c r="C52" s="10" t="n"/>
      <c r="D52" s="199" t="n"/>
    </row>
    <row r="53">
      <c r="B53" s="197" t="n"/>
      <c r="C53" s="10" t="n"/>
      <c r="D53" s="199" t="n"/>
    </row>
    <row r="54">
      <c r="B54" s="197" t="n"/>
      <c r="C54" s="10" t="n"/>
      <c r="D54" s="199" t="n"/>
    </row>
    <row r="55">
      <c r="B55" s="197" t="n"/>
      <c r="C55" s="10" t="n"/>
      <c r="D55" s="199" t="n"/>
    </row>
    <row r="56">
      <c r="B56" s="197" t="n"/>
      <c r="C56" s="10" t="n"/>
      <c r="D56" s="199" t="n"/>
    </row>
    <row r="57">
      <c r="B57" s="197" t="n"/>
      <c r="C57" s="10" t="n"/>
      <c r="D57" s="199" t="n"/>
    </row>
    <row r="58">
      <c r="B58" s="197" t="n"/>
      <c r="C58" s="10" t="n"/>
      <c r="D58" s="199" t="n"/>
    </row>
    <row r="59">
      <c r="B59" s="197" t="n"/>
      <c r="C59" s="10" t="n"/>
      <c r="D59" s="199" t="n"/>
    </row>
    <row r="60">
      <c r="B60" s="197" t="n"/>
      <c r="C60" s="10" t="n"/>
      <c r="D60" s="199" t="n"/>
    </row>
    <row r="61">
      <c r="B61" s="197" t="n"/>
      <c r="C61" s="10" t="n"/>
      <c r="D61" s="199" t="n"/>
    </row>
    <row r="62">
      <c r="B62" s="197" t="n"/>
      <c r="C62" s="10" t="n"/>
      <c r="D62" s="199" t="n"/>
    </row>
    <row r="63">
      <c r="B63" s="197" t="n"/>
      <c r="C63" s="10" t="n"/>
      <c r="D63" s="199" t="n"/>
    </row>
    <row r="64">
      <c r="B64" s="197" t="n"/>
      <c r="C64" s="10" t="n"/>
      <c r="D64" s="199" t="n"/>
    </row>
    <row r="65">
      <c r="B65" s="197" t="n"/>
      <c r="C65" s="10" t="n"/>
      <c r="D65" s="199" t="n"/>
    </row>
    <row r="66">
      <c r="B66" s="197" t="n"/>
      <c r="C66" s="10" t="n"/>
      <c r="D66" s="199" t="n"/>
    </row>
    <row r="67">
      <c r="B67" s="197" t="n"/>
      <c r="C67" s="10" t="n"/>
      <c r="D67" s="199" t="n"/>
    </row>
    <row r="68">
      <c r="B68" s="197" t="n"/>
      <c r="C68" s="10" t="n"/>
      <c r="D68" s="199" t="n"/>
    </row>
    <row r="69">
      <c r="B69" s="197" t="n"/>
      <c r="C69" s="10" t="n"/>
      <c r="D69" s="199" t="n"/>
    </row>
    <row r="70">
      <c r="B70" s="197" t="n"/>
      <c r="C70" s="10" t="n"/>
      <c r="D70" s="199" t="n"/>
    </row>
    <row r="71">
      <c r="B71" s="197" t="n"/>
      <c r="C71" s="10" t="n"/>
      <c r="D71" s="199" t="n"/>
    </row>
    <row r="72">
      <c r="B72" s="197" t="n"/>
      <c r="C72" s="10" t="n"/>
      <c r="D72" s="199" t="n"/>
    </row>
    <row r="73">
      <c r="B73" s="197" t="n"/>
      <c r="C73" s="10" t="n"/>
      <c r="D73" s="199" t="n"/>
    </row>
    <row r="74">
      <c r="B74" s="197" t="n"/>
      <c r="C74" s="10" t="n"/>
      <c r="D74" s="199" t="n"/>
    </row>
    <row r="75">
      <c r="B75" s="197" t="n"/>
      <c r="C75" s="10" t="n"/>
      <c r="D75" s="199" t="n"/>
    </row>
    <row r="76">
      <c r="B76" s="197" t="n"/>
      <c r="C76" s="10" t="n"/>
      <c r="D76" s="199" t="n"/>
    </row>
    <row r="77">
      <c r="B77" s="197" t="n"/>
      <c r="C77" s="10" t="n"/>
      <c r="D77" s="199" t="n"/>
    </row>
    <row r="78">
      <c r="B78" s="197" t="n"/>
      <c r="C78" s="10" t="n"/>
      <c r="D78" s="199" t="n"/>
    </row>
    <row r="79">
      <c r="B79" s="197" t="n"/>
      <c r="C79" s="10" t="n"/>
      <c r="D79" s="199" t="n"/>
    </row>
    <row r="80">
      <c r="B80" s="197" t="n"/>
      <c r="C80" s="10" t="n"/>
      <c r="D80" s="199" t="n"/>
    </row>
    <row r="81">
      <c r="B81" s="197" t="n"/>
      <c r="C81" s="10" t="n"/>
      <c r="D81" s="199" t="n"/>
    </row>
    <row r="82">
      <c r="B82" s="197" t="n"/>
      <c r="C82" s="10" t="n"/>
      <c r="D82" s="199" t="n"/>
    </row>
    <row r="83">
      <c r="B83" s="197" t="n"/>
      <c r="C83" s="10" t="n"/>
      <c r="D83" s="199" t="n"/>
    </row>
    <row r="84">
      <c r="B84" s="197" t="n"/>
      <c r="C84" s="10" t="n"/>
      <c r="D84" s="199" t="n"/>
    </row>
    <row r="85">
      <c r="B85" s="197" t="n"/>
      <c r="C85" s="10" t="n"/>
      <c r="D85" s="199" t="n"/>
    </row>
    <row r="86">
      <c r="B86" s="197" t="n"/>
      <c r="C86" s="10" t="n"/>
      <c r="D86" s="199" t="n"/>
    </row>
    <row r="87">
      <c r="B87" s="197" t="n"/>
      <c r="C87" s="10" t="n"/>
      <c r="D87" s="199" t="n"/>
    </row>
    <row r="88">
      <c r="B88" s="197" t="n"/>
      <c r="C88" s="10" t="n"/>
      <c r="D88" s="199" t="n"/>
    </row>
    <row r="89">
      <c r="B89" s="197" t="n"/>
      <c r="C89" s="10" t="n"/>
      <c r="D89" s="199" t="n"/>
    </row>
    <row r="90">
      <c r="B90" s="197" t="n"/>
      <c r="C90" s="10" t="n"/>
      <c r="D90" s="199" t="n"/>
    </row>
    <row r="91">
      <c r="B91" s="197" t="n"/>
      <c r="C91" s="10" t="n"/>
      <c r="D91" s="199" t="n"/>
    </row>
    <row r="92">
      <c r="B92" s="197" t="n"/>
      <c r="C92" s="10" t="n"/>
      <c r="D92" s="199" t="n"/>
    </row>
    <row r="93">
      <c r="B93" s="197" t="n"/>
      <c r="C93" s="10" t="n"/>
      <c r="D93" s="199" t="n"/>
    </row>
    <row r="94">
      <c r="B94" s="197" t="n"/>
      <c r="C94" s="10" t="n"/>
      <c r="D94" s="199" t="n"/>
    </row>
    <row r="95">
      <c r="B95" s="197" t="n"/>
      <c r="C95" s="10" t="n"/>
      <c r="D95" s="199" t="n"/>
    </row>
    <row r="96">
      <c r="B96" s="197" t="n"/>
      <c r="C96" s="10" t="n"/>
      <c r="D96" s="199" t="n"/>
    </row>
    <row r="97">
      <c r="B97" s="197" t="n"/>
      <c r="C97" s="10" t="n"/>
      <c r="D97" s="199" t="n"/>
    </row>
    <row r="98">
      <c r="B98" s="197" t="n"/>
      <c r="C98" s="10" t="n"/>
      <c r="D98" s="199" t="n"/>
    </row>
    <row r="99">
      <c r="B99" s="197" t="n"/>
      <c r="C99" s="10" t="n"/>
      <c r="D99" s="199" t="n"/>
    </row>
    <row r="100">
      <c r="B100" s="197" t="n"/>
      <c r="C100" s="10" t="n"/>
      <c r="D100" s="199" t="n"/>
    </row>
    <row r="101">
      <c r="B101" s="197" t="n"/>
      <c r="C101" s="10" t="n"/>
      <c r="D101" s="199" t="n"/>
    </row>
    <row r="102">
      <c r="B102" s="197" t="n"/>
      <c r="C102" s="10" t="n"/>
      <c r="D102" s="199" t="n"/>
    </row>
    <row r="103">
      <c r="B103" s="197" t="n"/>
      <c r="C103" s="10" t="n"/>
      <c r="D103" s="199" t="n"/>
    </row>
    <row r="104">
      <c r="B104" s="197" t="n"/>
      <c r="C104" s="10" t="n"/>
      <c r="D104" s="199" t="n"/>
    </row>
    <row r="105">
      <c r="B105" s="197" t="n"/>
      <c r="C105" s="10" t="n"/>
      <c r="D105" s="199" t="n"/>
    </row>
    <row r="106">
      <c r="B106" s="197" t="n"/>
      <c r="C106" s="10" t="n"/>
      <c r="D106" s="199" t="n"/>
    </row>
    <row r="107">
      <c r="B107" s="197" t="n"/>
      <c r="C107" s="10" t="n"/>
      <c r="D107" s="199" t="n"/>
    </row>
    <row r="108">
      <c r="B108" s="197" t="n"/>
      <c r="C108" s="10" t="n"/>
      <c r="D108" s="199" t="n"/>
    </row>
    <row r="109">
      <c r="B109" s="197" t="n"/>
      <c r="C109" s="10" t="n"/>
      <c r="D109" s="199" t="n"/>
    </row>
    <row r="110">
      <c r="B110" s="197" t="n"/>
      <c r="C110" s="10" t="n"/>
      <c r="D110" s="199" t="n"/>
    </row>
    <row r="111">
      <c r="B111" s="197" t="n"/>
      <c r="C111" s="10" t="n"/>
      <c r="D111" s="199" t="n"/>
    </row>
    <row r="112">
      <c r="B112" s="197" t="n"/>
      <c r="C112" s="10" t="n"/>
      <c r="D112" s="199" t="n"/>
    </row>
    <row r="113">
      <c r="B113" s="197" t="n"/>
      <c r="C113" s="10" t="n"/>
      <c r="D113" s="199" t="n"/>
    </row>
    <row r="114">
      <c r="B114" s="197" t="n"/>
      <c r="C114" s="10" t="n"/>
      <c r="D114" s="199" t="n"/>
    </row>
    <row r="115">
      <c r="B115" s="197" t="n"/>
      <c r="C115" s="10" t="n"/>
      <c r="D115" s="199" t="n"/>
    </row>
    <row r="116">
      <c r="B116" s="197" t="n"/>
      <c r="C116" s="10" t="n"/>
      <c r="D116" s="199" t="n"/>
    </row>
    <row r="117">
      <c r="B117" s="197" t="n"/>
      <c r="C117" s="10" t="n"/>
      <c r="D117" s="199" t="n"/>
    </row>
    <row r="118">
      <c r="B118" s="197" t="n"/>
      <c r="C118" s="10" t="n"/>
      <c r="D118" s="199" t="n"/>
    </row>
    <row r="119">
      <c r="B119" s="197" t="n"/>
      <c r="C119" s="10" t="n"/>
      <c r="D119" s="199" t="n"/>
    </row>
    <row r="120">
      <c r="B120" s="197" t="n"/>
      <c r="C120" s="10" t="n"/>
      <c r="D120" s="199" t="n"/>
    </row>
    <row r="121">
      <c r="B121" s="197" t="n"/>
      <c r="C121" s="10" t="n"/>
      <c r="D121" s="199" t="n"/>
    </row>
    <row r="122">
      <c r="B122" s="197" t="n"/>
      <c r="C122" s="10" t="n"/>
      <c r="D122" s="199" t="n"/>
    </row>
    <row r="123">
      <c r="B123" s="197" t="n"/>
      <c r="C123" s="10" t="n"/>
      <c r="D123" s="199" t="n"/>
    </row>
    <row r="124">
      <c r="B124" s="197" t="n"/>
      <c r="C124" s="10" t="n"/>
      <c r="D124" s="199" t="n"/>
    </row>
    <row r="125">
      <c r="B125" s="197" t="n"/>
      <c r="C125" s="10" t="n"/>
      <c r="D125" s="199" t="n"/>
    </row>
    <row r="126">
      <c r="B126" s="197" t="n"/>
      <c r="C126" s="10" t="n"/>
      <c r="D126" s="199" t="n"/>
    </row>
    <row r="127">
      <c r="B127" s="197" t="n"/>
      <c r="C127" s="10" t="n"/>
      <c r="D127" s="199" t="n"/>
    </row>
    <row r="128">
      <c r="B128" s="197" t="n"/>
      <c r="C128" s="10" t="n"/>
      <c r="D128" s="199" t="n"/>
    </row>
    <row r="129">
      <c r="B129" s="197" t="n"/>
      <c r="C129" s="10" t="n"/>
      <c r="D129" s="199" t="n"/>
    </row>
    <row r="130">
      <c r="B130" s="197" t="n"/>
      <c r="C130" s="10" t="n"/>
      <c r="D130" s="199" t="n"/>
    </row>
    <row r="131">
      <c r="B131" s="197" t="n"/>
      <c r="C131" s="10" t="n"/>
      <c r="D131" s="199" t="n"/>
    </row>
    <row r="132">
      <c r="B132" s="197" t="n"/>
      <c r="C132" s="10" t="n"/>
      <c r="D132" s="199" t="n"/>
    </row>
    <row r="133">
      <c r="B133" s="197" t="n"/>
      <c r="C133" s="10" t="n"/>
      <c r="D133" s="199" t="n"/>
    </row>
    <row r="134">
      <c r="B134" s="197" t="n"/>
      <c r="C134" s="10" t="n"/>
      <c r="D134" s="199" t="n"/>
    </row>
    <row r="135">
      <c r="B135" s="197" t="n"/>
      <c r="C135" s="10" t="n"/>
      <c r="D135" s="199" t="n"/>
    </row>
    <row r="136">
      <c r="B136" s="197" t="n"/>
      <c r="C136" s="10" t="n"/>
      <c r="D136" s="199" t="n"/>
    </row>
    <row r="137">
      <c r="B137" s="197" t="n"/>
      <c r="C137" s="10" t="n"/>
      <c r="D137" s="199" t="n"/>
    </row>
    <row r="138">
      <c r="B138" s="197" t="n"/>
      <c r="C138" s="10" t="n"/>
      <c r="D138" s="199" t="n"/>
    </row>
    <row r="139">
      <c r="B139" s="197" t="n"/>
      <c r="C139" s="10" t="n"/>
      <c r="D139" s="199" t="n"/>
    </row>
    <row r="140">
      <c r="B140" s="197" t="n"/>
      <c r="C140" s="10" t="n"/>
      <c r="D140" s="199" t="n"/>
    </row>
    <row r="141">
      <c r="B141" s="197" t="n"/>
      <c r="C141" s="10" t="n"/>
      <c r="D141" s="199" t="n"/>
    </row>
    <row r="142">
      <c r="B142" s="197" t="n"/>
      <c r="C142" s="10" t="n"/>
      <c r="D142" s="199" t="n"/>
    </row>
    <row r="143">
      <c r="B143" s="197" t="n"/>
      <c r="C143" s="10" t="n"/>
      <c r="D143" s="199" t="n"/>
    </row>
    <row r="144">
      <c r="B144" s="197" t="n"/>
      <c r="C144" s="10" t="n"/>
      <c r="D144" s="199" t="n"/>
    </row>
    <row r="145">
      <c r="B145" s="197" t="n"/>
      <c r="C145" s="10" t="n"/>
      <c r="D145" s="199" t="n"/>
    </row>
    <row r="146">
      <c r="B146" s="197" t="n"/>
      <c r="C146" s="10" t="n"/>
      <c r="D146" s="199" t="n"/>
    </row>
    <row r="147">
      <c r="B147" s="197" t="n"/>
      <c r="C147" s="10" t="n"/>
      <c r="D147" s="199" t="n"/>
    </row>
    <row r="148">
      <c r="B148" s="197" t="n"/>
      <c r="C148" s="10" t="n"/>
      <c r="D148" s="199" t="n"/>
    </row>
    <row r="149">
      <c r="B149" s="197" t="n"/>
      <c r="C149" s="10" t="n"/>
      <c r="D149" s="199" t="n"/>
    </row>
    <row r="150">
      <c r="B150" s="197" t="n"/>
      <c r="C150" s="10" t="n"/>
      <c r="D150" s="199" t="n"/>
    </row>
    <row r="151">
      <c r="B151" s="197" t="n"/>
      <c r="C151" s="10" t="n"/>
      <c r="D151" s="199" t="n"/>
    </row>
    <row r="152">
      <c r="B152" s="197" t="n"/>
      <c r="C152" s="10" t="n"/>
      <c r="D152" s="199" t="n"/>
    </row>
    <row r="153">
      <c r="B153" s="197" t="n"/>
      <c r="C153" s="10" t="n"/>
      <c r="D153" s="199" t="n"/>
    </row>
    <row r="154">
      <c r="B154" s="197" t="n"/>
      <c r="C154" s="10" t="n"/>
      <c r="D154" s="199" t="n"/>
    </row>
    <row r="155">
      <c r="B155" s="197" t="n"/>
      <c r="C155" s="10" t="n"/>
      <c r="D155" s="199" t="n"/>
    </row>
    <row r="156">
      <c r="B156" s="197" t="n"/>
      <c r="C156" s="10" t="n"/>
      <c r="D156" s="199" t="n"/>
    </row>
    <row r="157">
      <c r="B157" s="197" t="n"/>
      <c r="C157" s="10" t="n"/>
      <c r="D157" s="199" t="n"/>
    </row>
    <row r="158">
      <c r="B158" s="197" t="n"/>
      <c r="C158" s="10" t="n"/>
      <c r="D158" s="199" t="n"/>
    </row>
    <row r="159">
      <c r="B159" s="197" t="n"/>
      <c r="C159" s="10" t="n"/>
      <c r="D159" s="199" t="n"/>
    </row>
    <row r="160">
      <c r="B160" s="197" t="n"/>
      <c r="C160" s="10" t="n"/>
      <c r="D160" s="199" t="n"/>
    </row>
    <row r="161">
      <c r="B161" s="197" t="n"/>
      <c r="C161" s="10" t="n"/>
      <c r="D161" s="199" t="n"/>
    </row>
    <row r="162">
      <c r="B162" s="197" t="n"/>
      <c r="C162" s="10" t="n"/>
      <c r="D162" s="199" t="n"/>
    </row>
    <row r="163">
      <c r="B163" s="197" t="n"/>
      <c r="C163" s="10" t="n"/>
      <c r="D163" s="199" t="n"/>
    </row>
    <row r="164">
      <c r="B164" s="197" t="n"/>
      <c r="C164" s="10" t="n"/>
      <c r="D164" s="199" t="n"/>
    </row>
    <row r="165">
      <c r="B165" s="197" t="n"/>
      <c r="C165" s="10" t="n"/>
      <c r="D165" s="199" t="n"/>
    </row>
    <row r="166">
      <c r="B166" s="197" t="n"/>
      <c r="C166" s="10" t="n"/>
      <c r="D166" s="199" t="n"/>
    </row>
    <row r="167">
      <c r="B167" s="197" t="n"/>
      <c r="C167" s="10" t="n"/>
      <c r="D167" s="199" t="n"/>
    </row>
    <row r="168">
      <c r="B168" s="197" t="n"/>
      <c r="C168" s="10" t="n"/>
      <c r="D168" s="199" t="n"/>
    </row>
    <row r="169">
      <c r="B169" s="197" t="n"/>
      <c r="C169" s="10" t="n"/>
      <c r="D169" s="199" t="n"/>
    </row>
    <row r="170">
      <c r="B170" s="197" t="n"/>
      <c r="C170" s="10" t="n"/>
      <c r="D170" s="199" t="n"/>
    </row>
    <row r="171">
      <c r="B171" s="197" t="n"/>
      <c r="C171" s="10" t="n"/>
      <c r="D171" s="199" t="n"/>
    </row>
    <row r="172">
      <c r="B172" s="197" t="n"/>
      <c r="C172" s="10" t="n"/>
      <c r="D172" s="199" t="n"/>
    </row>
    <row r="173">
      <c r="B173" s="197" t="n"/>
      <c r="C173" s="10" t="n"/>
      <c r="D173" s="199" t="n"/>
    </row>
    <row r="174">
      <c r="B174" s="197" t="n"/>
      <c r="C174" s="10" t="n"/>
      <c r="D174" s="199" t="n"/>
    </row>
    <row r="175">
      <c r="B175" s="197" t="n"/>
      <c r="C175" s="10" t="n"/>
      <c r="D175" s="199" t="n"/>
    </row>
    <row r="176">
      <c r="B176" s="197" t="n"/>
      <c r="C176" s="10" t="n"/>
      <c r="D176" s="199" t="n"/>
    </row>
    <row r="177">
      <c r="B177" s="197" t="n"/>
      <c r="C177" s="10" t="n"/>
      <c r="D177" s="199" t="n"/>
    </row>
    <row r="178">
      <c r="B178" s="197" t="n"/>
      <c r="C178" s="10" t="n"/>
      <c r="D178" s="199" t="n"/>
    </row>
    <row r="179">
      <c r="B179" s="197" t="n"/>
      <c r="C179" s="10" t="n"/>
      <c r="D179" s="199" t="n"/>
    </row>
    <row r="180">
      <c r="B180" s="197" t="n"/>
      <c r="C180" s="10" t="n"/>
      <c r="D180" s="199" t="n"/>
    </row>
    <row r="181">
      <c r="B181" s="197" t="n"/>
      <c r="C181" s="10" t="n"/>
      <c r="D181" s="199" t="n"/>
    </row>
    <row r="182">
      <c r="B182" s="197" t="n"/>
      <c r="C182" s="10" t="n"/>
      <c r="D182" s="199" t="n"/>
    </row>
    <row r="183">
      <c r="B183" s="197" t="n"/>
      <c r="C183" s="10" t="n"/>
      <c r="D183" s="199" t="n"/>
    </row>
    <row r="184">
      <c r="B184" s="197" t="n"/>
      <c r="C184" s="10" t="n"/>
      <c r="D184" s="199" t="n"/>
    </row>
    <row r="185">
      <c r="B185" s="197" t="n"/>
      <c r="C185" s="10" t="n"/>
      <c r="D185" s="199" t="n"/>
    </row>
    <row r="186">
      <c r="B186" s="197" t="n"/>
      <c r="C186" s="10" t="n"/>
      <c r="D186" s="199" t="n"/>
    </row>
    <row r="187">
      <c r="B187" s="197" t="n"/>
      <c r="C187" s="10" t="n"/>
      <c r="D187" s="199" t="n"/>
    </row>
    <row r="188">
      <c r="B188" s="197" t="n"/>
      <c r="C188" s="10" t="n"/>
      <c r="D188" s="199" t="n"/>
    </row>
    <row r="189">
      <c r="B189" s="197" t="n"/>
      <c r="C189" s="10" t="n"/>
      <c r="D189" s="199" t="n"/>
    </row>
    <row r="190">
      <c r="B190" s="197" t="n"/>
      <c r="C190" s="10" t="n"/>
      <c r="D190" s="199" t="n"/>
    </row>
    <row r="191">
      <c r="B191" s="197" t="n"/>
      <c r="C191" s="10" t="n"/>
      <c r="D191" s="199" t="n"/>
    </row>
    <row r="192">
      <c r="B192" s="197" t="n"/>
      <c r="C192" s="10" t="n"/>
      <c r="D192" s="199" t="n"/>
    </row>
    <row r="193">
      <c r="B193" s="197" t="n"/>
      <c r="C193" s="10" t="n"/>
      <c r="D193" s="199" t="n"/>
    </row>
    <row r="194">
      <c r="B194" s="197" t="n"/>
      <c r="C194" s="10" t="n"/>
      <c r="D194" s="199" t="n"/>
    </row>
    <row r="195">
      <c r="B195" s="197" t="n"/>
      <c r="C195" s="10" t="n"/>
      <c r="D195" s="199" t="n"/>
    </row>
    <row r="196">
      <c r="B196" s="197" t="n"/>
      <c r="C196" s="10" t="n"/>
      <c r="D196" s="199" t="n"/>
    </row>
    <row r="197">
      <c r="B197" s="197" t="n"/>
      <c r="C197" s="10" t="n"/>
      <c r="D197" s="199" t="n"/>
    </row>
    <row r="198">
      <c r="B198" s="197" t="n"/>
      <c r="C198" s="10" t="n"/>
      <c r="D198" s="199" t="n"/>
    </row>
    <row r="199">
      <c r="B199" s="197" t="n"/>
      <c r="C199" s="10" t="n"/>
      <c r="D199" s="199" t="n"/>
    </row>
    <row r="200">
      <c r="B200" s="197" t="n"/>
      <c r="C200" s="10" t="n"/>
      <c r="D200" s="19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I7" sqref="I7"/>
    </sheetView>
  </sheetViews>
  <sheetFormatPr baseColWidth="8" defaultRowHeight="14.5"/>
  <cols>
    <col width="9.81640625" customWidth="1" style="192" min="1" max="1"/>
    <col width="35.36328125" bestFit="1" customWidth="1" style="14" min="2" max="2"/>
    <col width="8.7265625" customWidth="1" style="14" min="3" max="3"/>
    <col width="45.81640625" customWidth="1" style="14" min="4" max="4"/>
    <col width="10.453125" customWidth="1" style="14" min="5" max="5"/>
    <col width="11.08984375" customWidth="1" style="14" min="6" max="6"/>
  </cols>
  <sheetData>
    <row r="1">
      <c r="A1" s="200" t="inlineStr">
        <is>
          <t>รหัสลูกค้า</t>
        </is>
      </c>
      <c r="B1" s="19" t="inlineStr">
        <is>
          <t>ชื่อ</t>
        </is>
      </c>
      <c r="C1" s="19" t="inlineStr">
        <is>
          <t>นามสกุล</t>
        </is>
      </c>
      <c r="D1" s="19" t="inlineStr">
        <is>
          <t>ที่อยู่</t>
        </is>
      </c>
      <c r="E1" s="19" t="inlineStr">
        <is>
          <t>เบอร์โทร</t>
        </is>
      </c>
      <c r="F1" s="19" t="inlineStr">
        <is>
          <t>รหัสผู้เสียภาษี</t>
        </is>
      </c>
    </row>
    <row r="2">
      <c r="A2" s="201" t="inlineStr">
        <is>
          <t>APT01</t>
        </is>
      </c>
      <c r="B2" s="17" t="inlineStr">
        <is>
          <t>บริษัท แอมฟีนอล ฟีนิกซ์ (ประเทศไทย) จำกัด (สำนักงานใหญ่)</t>
        </is>
      </c>
      <c r="C2" s="17" t="n"/>
      <c r="D2" s="17" t="inlineStr">
        <is>
          <t>40/39-40,40/42-43 หมู่ที่ 5 ตำบลอุทัย อำเภออุทัย จังหวัดพระนครศรีอยุธยา 13210</t>
        </is>
      </c>
      <c r="E2" s="21" t="inlineStr">
        <is>
          <t>kaikui.chen@amphenolmcp.com</t>
        </is>
      </c>
      <c r="F2" s="20" t="inlineStr">
        <is>
          <t>0145566000923</t>
        </is>
      </c>
    </row>
    <row r="3">
      <c r="A3" s="197" t="n"/>
      <c r="B3" s="10" t="n"/>
      <c r="C3" s="10" t="n"/>
      <c r="D3" s="10" t="n"/>
      <c r="E3" s="10" t="n"/>
      <c r="F3" s="10" t="n"/>
    </row>
    <row r="4">
      <c r="A4" s="197" t="n"/>
      <c r="B4" s="10" t="n"/>
      <c r="C4" s="10" t="n"/>
      <c r="D4" s="10" t="n"/>
      <c r="E4" s="10" t="n"/>
      <c r="F4" s="10" t="n"/>
    </row>
    <row r="5">
      <c r="A5" s="197" t="n"/>
      <c r="B5" s="10" t="n"/>
      <c r="C5" s="10" t="n"/>
      <c r="D5" s="10" t="n"/>
      <c r="E5" s="10" t="n"/>
      <c r="F5" s="10" t="n"/>
    </row>
    <row r="6">
      <c r="A6" s="197" t="n"/>
      <c r="B6" s="10" t="n"/>
      <c r="C6" s="10" t="n"/>
      <c r="D6" s="10" t="n"/>
      <c r="E6" s="10" t="n"/>
      <c r="F6" s="10" t="n"/>
    </row>
    <row r="7">
      <c r="A7" s="197" t="n"/>
      <c r="B7" s="10" t="n"/>
      <c r="C7" s="10" t="n"/>
      <c r="D7" s="10" t="n"/>
      <c r="E7" s="10" t="n"/>
      <c r="F7" s="10" t="n"/>
    </row>
    <row r="8">
      <c r="A8" s="197" t="n"/>
      <c r="B8" s="10" t="n"/>
      <c r="C8" s="10" t="n"/>
      <c r="D8" s="10" t="n"/>
      <c r="E8" s="10" t="n"/>
      <c r="F8" s="10" t="n"/>
    </row>
    <row r="9">
      <c r="A9" s="197" t="n"/>
      <c r="B9" s="10" t="n"/>
      <c r="C9" s="10" t="n"/>
      <c r="D9" s="10" t="n"/>
      <c r="E9" s="10" t="n"/>
      <c r="F9" s="10" t="n"/>
    </row>
    <row r="10">
      <c r="A10" s="197" t="n"/>
      <c r="B10" s="10" t="n"/>
      <c r="C10" s="10" t="n"/>
      <c r="D10" s="10" t="n"/>
      <c r="E10" s="10" t="n"/>
      <c r="F10" s="10" t="n"/>
    </row>
    <row r="11">
      <c r="A11" s="197" t="n"/>
      <c r="B11" s="10" t="n"/>
      <c r="C11" s="10" t="n"/>
      <c r="D11" s="10" t="n"/>
      <c r="E11" s="10" t="n"/>
      <c r="F11" s="10" t="n"/>
    </row>
    <row r="12">
      <c r="A12" s="197" t="n"/>
      <c r="B12" s="10" t="n"/>
      <c r="C12" s="10" t="n"/>
      <c r="D12" s="10" t="n"/>
      <c r="E12" s="10" t="n"/>
      <c r="F12" s="10" t="n"/>
    </row>
    <row r="13">
      <c r="A13" s="197" t="n"/>
      <c r="B13" s="10" t="n"/>
      <c r="C13" s="10" t="n"/>
      <c r="D13" s="10" t="n"/>
      <c r="E13" s="10" t="n"/>
      <c r="F13" s="10" t="n"/>
    </row>
    <row r="14">
      <c r="A14" s="197" t="n"/>
      <c r="B14" s="10" t="n"/>
      <c r="C14" s="10" t="n"/>
      <c r="D14" s="10" t="n"/>
      <c r="E14" s="10" t="n"/>
      <c r="F14" s="10" t="n"/>
    </row>
    <row r="15">
      <c r="A15" s="197" t="n"/>
      <c r="B15" s="10" t="n"/>
      <c r="C15" s="10" t="n"/>
      <c r="D15" s="10" t="n"/>
      <c r="E15" s="10" t="n"/>
      <c r="F15" s="10" t="n"/>
    </row>
    <row r="16">
      <c r="A16" s="197" t="n"/>
      <c r="B16" s="10" t="n"/>
      <c r="C16" s="10" t="n"/>
      <c r="D16" s="10" t="n"/>
      <c r="E16" s="10" t="n"/>
      <c r="F16" s="10" t="n"/>
    </row>
    <row r="17">
      <c r="A17" s="197" t="n"/>
      <c r="B17" s="10" t="n"/>
      <c r="C17" s="10" t="n"/>
      <c r="D17" s="10" t="n"/>
      <c r="E17" s="10" t="n"/>
      <c r="F17" s="10" t="n"/>
    </row>
    <row r="18">
      <c r="A18" s="197" t="n"/>
      <c r="B18" s="10" t="n"/>
      <c r="C18" s="10" t="n"/>
      <c r="D18" s="10" t="n"/>
      <c r="E18" s="10" t="n"/>
      <c r="F18" s="10" t="n"/>
    </row>
    <row r="19">
      <c r="A19" s="197" t="n"/>
      <c r="B19" s="10" t="n"/>
      <c r="C19" s="10" t="n"/>
      <c r="D19" s="10" t="n"/>
      <c r="E19" s="10" t="n"/>
      <c r="F19" s="10" t="n"/>
    </row>
    <row r="20">
      <c r="A20" s="197" t="n"/>
      <c r="B20" s="10" t="n"/>
      <c r="C20" s="10" t="n"/>
      <c r="D20" s="10" t="n"/>
      <c r="E20" s="10" t="n"/>
      <c r="F20" s="10" t="n"/>
    </row>
    <row r="21">
      <c r="A21" s="197" t="n"/>
      <c r="B21" s="10" t="n"/>
      <c r="C21" s="10" t="n"/>
      <c r="D21" s="10" t="n"/>
      <c r="E21" s="10" t="n"/>
      <c r="F21" s="10" t="n"/>
    </row>
    <row r="22">
      <c r="A22" s="197" t="n"/>
      <c r="B22" s="10" t="n"/>
      <c r="C22" s="10" t="n"/>
      <c r="D22" s="10" t="n"/>
      <c r="E22" s="10" t="n"/>
      <c r="F22" s="10" t="n"/>
    </row>
    <row r="23">
      <c r="A23" s="197" t="n"/>
      <c r="B23" s="10" t="n"/>
      <c r="C23" s="10" t="n"/>
      <c r="D23" s="10" t="n"/>
      <c r="E23" s="10" t="n"/>
      <c r="F23" s="10" t="n"/>
    </row>
    <row r="24">
      <c r="A24" s="197" t="n"/>
      <c r="B24" s="10" t="n"/>
      <c r="C24" s="10" t="n"/>
      <c r="D24" s="10" t="n"/>
      <c r="E24" s="10" t="n"/>
      <c r="F24" s="10" t="n"/>
    </row>
    <row r="25">
      <c r="A25" s="197" t="n"/>
      <c r="B25" s="10" t="n"/>
      <c r="C25" s="10" t="n"/>
      <c r="D25" s="10" t="n"/>
      <c r="E25" s="10" t="n"/>
      <c r="F25" s="10" t="n"/>
    </row>
    <row r="26">
      <c r="A26" s="197" t="n"/>
      <c r="B26" s="10" t="n"/>
      <c r="C26" s="10" t="n"/>
      <c r="D26" s="10" t="n"/>
      <c r="E26" s="10" t="n"/>
      <c r="F26" s="10" t="n"/>
    </row>
    <row r="27">
      <c r="A27" s="197" t="n"/>
      <c r="B27" s="10" t="n"/>
      <c r="C27" s="10" t="n"/>
      <c r="D27" s="10" t="n"/>
      <c r="E27" s="10" t="n"/>
      <c r="F27" s="10" t="n"/>
    </row>
    <row r="28">
      <c r="A28" s="197" t="n"/>
      <c r="B28" s="10" t="n"/>
      <c r="C28" s="10" t="n"/>
      <c r="D28" s="10" t="n"/>
      <c r="E28" s="10" t="n"/>
      <c r="F28" s="10" t="n"/>
    </row>
    <row r="29">
      <c r="A29" s="197" t="n"/>
      <c r="B29" s="10" t="n"/>
      <c r="C29" s="10" t="n"/>
      <c r="D29" s="10" t="n"/>
      <c r="E29" s="10" t="n"/>
      <c r="F29" s="10" t="n"/>
    </row>
    <row r="30">
      <c r="A30" s="197" t="n"/>
      <c r="B30" s="10" t="n"/>
      <c r="C30" s="10" t="n"/>
      <c r="D30" s="10" t="n"/>
      <c r="E30" s="10" t="n"/>
      <c r="F30" s="10" t="n"/>
    </row>
    <row r="31">
      <c r="A31" s="197" t="n"/>
      <c r="B31" s="10" t="n"/>
      <c r="C31" s="10" t="n"/>
      <c r="D31" s="10" t="n"/>
      <c r="E31" s="10" t="n"/>
      <c r="F31" s="10" t="n"/>
    </row>
    <row r="32">
      <c r="A32" s="197" t="n"/>
      <c r="B32" s="10" t="n"/>
      <c r="C32" s="10" t="n"/>
      <c r="D32" s="10" t="n"/>
      <c r="E32" s="10" t="n"/>
      <c r="F32" s="10" t="n"/>
    </row>
    <row r="33">
      <c r="A33" s="197" t="n"/>
      <c r="B33" s="10" t="n"/>
      <c r="C33" s="10" t="n"/>
      <c r="D33" s="10" t="n"/>
      <c r="E33" s="10" t="n"/>
      <c r="F33" s="10" t="n"/>
    </row>
    <row r="34">
      <c r="A34" s="197" t="n"/>
      <c r="B34" s="10" t="n"/>
      <c r="C34" s="10" t="n"/>
      <c r="D34" s="10" t="n"/>
      <c r="E34" s="10" t="n"/>
      <c r="F34" s="10" t="n"/>
    </row>
    <row r="35">
      <c r="A35" s="197" t="n"/>
      <c r="B35" s="10" t="n"/>
      <c r="C35" s="10" t="n"/>
      <c r="D35" s="10" t="n"/>
      <c r="E35" s="10" t="n"/>
      <c r="F35" s="10" t="n"/>
    </row>
    <row r="36">
      <c r="A36" s="197" t="n"/>
      <c r="B36" s="10" t="n"/>
      <c r="C36" s="10" t="n"/>
      <c r="D36" s="10" t="n"/>
      <c r="E36" s="10" t="n"/>
      <c r="F36" s="10" t="n"/>
    </row>
    <row r="37">
      <c r="A37" s="197" t="n"/>
      <c r="B37" s="10" t="n"/>
      <c r="C37" s="10" t="n"/>
      <c r="D37" s="10" t="n"/>
      <c r="E37" s="10" t="n"/>
      <c r="F37" s="10" t="n"/>
    </row>
    <row r="38">
      <c r="A38" s="197" t="n"/>
      <c r="B38" s="10" t="n"/>
      <c r="C38" s="10" t="n"/>
      <c r="D38" s="10" t="n"/>
      <c r="E38" s="10" t="n"/>
      <c r="F38" s="10" t="n"/>
    </row>
    <row r="39">
      <c r="A39" s="197" t="n"/>
      <c r="B39" s="10" t="n"/>
      <c r="C39" s="10" t="n"/>
      <c r="D39" s="10" t="n"/>
      <c r="E39" s="10" t="n"/>
      <c r="F39" s="10" t="n"/>
    </row>
    <row r="40">
      <c r="A40" s="197" t="n"/>
      <c r="B40" s="10" t="n"/>
      <c r="C40" s="10" t="n"/>
      <c r="D40" s="10" t="n"/>
      <c r="E40" s="10" t="n"/>
      <c r="F40" s="10" t="n"/>
    </row>
    <row r="41">
      <c r="A41" s="197" t="n"/>
      <c r="B41" s="10" t="n"/>
      <c r="C41" s="10" t="n"/>
      <c r="D41" s="10" t="n"/>
      <c r="E41" s="10" t="n"/>
      <c r="F41" s="10" t="n"/>
    </row>
    <row r="42">
      <c r="A42" s="197" t="n"/>
      <c r="B42" s="10" t="n"/>
      <c r="C42" s="10" t="n"/>
      <c r="D42" s="10" t="n"/>
      <c r="E42" s="10" t="n"/>
      <c r="F42" s="10" t="n"/>
    </row>
    <row r="43">
      <c r="A43" s="197" t="n"/>
      <c r="B43" s="10" t="n"/>
      <c r="C43" s="10" t="n"/>
      <c r="D43" s="10" t="n"/>
      <c r="E43" s="10" t="n"/>
      <c r="F43" s="10" t="n"/>
    </row>
    <row r="44">
      <c r="A44" s="197" t="n"/>
      <c r="B44" s="10" t="n"/>
      <c r="C44" s="10" t="n"/>
      <c r="D44" s="10" t="n"/>
      <c r="E44" s="10" t="n"/>
      <c r="F44" s="10" t="n"/>
    </row>
    <row r="45">
      <c r="A45" s="197" t="n"/>
      <c r="B45" s="10" t="n"/>
      <c r="C45" s="10" t="n"/>
      <c r="D45" s="10" t="n"/>
      <c r="E45" s="10" t="n"/>
      <c r="F45" s="10" t="n"/>
    </row>
    <row r="46">
      <c r="A46" s="197" t="n"/>
      <c r="B46" s="10" t="n"/>
      <c r="C46" s="10" t="n"/>
      <c r="D46" s="10" t="n"/>
      <c r="E46" s="10" t="n"/>
      <c r="F46" s="10" t="n"/>
    </row>
    <row r="47">
      <c r="A47" s="197" t="n"/>
      <c r="B47" s="10" t="n"/>
      <c r="C47" s="10" t="n"/>
      <c r="D47" s="10" t="n"/>
      <c r="E47" s="10" t="n"/>
      <c r="F47" s="10" t="n"/>
    </row>
    <row r="48">
      <c r="A48" s="197" t="n"/>
      <c r="B48" s="10" t="n"/>
      <c r="C48" s="10" t="n"/>
      <c r="D48" s="10" t="n"/>
      <c r="E48" s="10" t="n"/>
      <c r="F48" s="10" t="n"/>
    </row>
    <row r="49">
      <c r="A49" s="197" t="n"/>
      <c r="B49" s="10" t="n"/>
      <c r="C49" s="10" t="n"/>
      <c r="D49" s="10" t="n"/>
      <c r="E49" s="10" t="n"/>
      <c r="F49" s="10" t="n"/>
    </row>
    <row r="50">
      <c r="A50" s="197" t="n"/>
      <c r="B50" s="10" t="n"/>
      <c r="C50" s="10" t="n"/>
      <c r="D50" s="10" t="n"/>
      <c r="E50" s="10" t="n"/>
      <c r="F50" s="10" t="n"/>
    </row>
    <row r="51">
      <c r="A51" s="197" t="n"/>
      <c r="B51" s="10" t="n"/>
      <c r="C51" s="10" t="n"/>
      <c r="D51" s="10" t="n"/>
      <c r="E51" s="10" t="n"/>
      <c r="F51" s="10" t="n"/>
    </row>
    <row r="52">
      <c r="A52" s="197" t="n"/>
      <c r="B52" s="10" t="n"/>
      <c r="C52" s="10" t="n"/>
      <c r="D52" s="10" t="n"/>
      <c r="E52" s="10" t="n"/>
      <c r="F52" s="10" t="n"/>
    </row>
    <row r="53">
      <c r="A53" s="197" t="n"/>
      <c r="B53" s="10" t="n"/>
      <c r="C53" s="10" t="n"/>
      <c r="D53" s="10" t="n"/>
      <c r="E53" s="10" t="n"/>
      <c r="F53" s="10" t="n"/>
    </row>
    <row r="54">
      <c r="A54" s="197" t="n"/>
      <c r="B54" s="10" t="n"/>
      <c r="C54" s="10" t="n"/>
      <c r="D54" s="10" t="n"/>
      <c r="E54" s="10" t="n"/>
      <c r="F54" s="10" t="n"/>
    </row>
    <row r="55">
      <c r="A55" s="197" t="n"/>
      <c r="B55" s="10" t="n"/>
      <c r="C55" s="10" t="n"/>
      <c r="D55" s="10" t="n"/>
      <c r="E55" s="10" t="n"/>
      <c r="F55" s="10" t="n"/>
    </row>
    <row r="56">
      <c r="A56" s="197" t="n"/>
      <c r="B56" s="10" t="n"/>
      <c r="C56" s="10" t="n"/>
      <c r="D56" s="10" t="n"/>
      <c r="E56" s="10" t="n"/>
      <c r="F56" s="10" t="n"/>
    </row>
    <row r="57">
      <c r="A57" s="197" t="n"/>
      <c r="B57" s="10" t="n"/>
      <c r="C57" s="10" t="n"/>
      <c r="D57" s="10" t="n"/>
      <c r="E57" s="10" t="n"/>
      <c r="F57" s="10" t="n"/>
    </row>
    <row r="58">
      <c r="A58" s="197" t="n"/>
      <c r="B58" s="10" t="n"/>
      <c r="C58" s="10" t="n"/>
      <c r="D58" s="10" t="n"/>
      <c r="E58" s="10" t="n"/>
      <c r="F58" s="10" t="n"/>
    </row>
    <row r="59">
      <c r="A59" s="197" t="n"/>
      <c r="B59" s="10" t="n"/>
      <c r="C59" s="10" t="n"/>
      <c r="D59" s="10" t="n"/>
      <c r="E59" s="10" t="n"/>
      <c r="F59" s="10" t="n"/>
    </row>
    <row r="60">
      <c r="A60" s="197" t="n"/>
      <c r="B60" s="10" t="n"/>
      <c r="C60" s="10" t="n"/>
      <c r="D60" s="10" t="n"/>
      <c r="E60" s="10" t="n"/>
      <c r="F60" s="10" t="n"/>
    </row>
    <row r="61">
      <c r="A61" s="197" t="n"/>
      <c r="B61" s="10" t="n"/>
      <c r="C61" s="10" t="n"/>
      <c r="D61" s="10" t="n"/>
      <c r="E61" s="10" t="n"/>
      <c r="F61" s="10" t="n"/>
    </row>
    <row r="62">
      <c r="A62" s="197" t="n"/>
      <c r="B62" s="10" t="n"/>
      <c r="C62" s="10" t="n"/>
      <c r="D62" s="10" t="n"/>
      <c r="E62" s="10" t="n"/>
      <c r="F62" s="10" t="n"/>
    </row>
    <row r="63">
      <c r="A63" s="197" t="n"/>
      <c r="B63" s="10" t="n"/>
      <c r="C63" s="10" t="n"/>
      <c r="D63" s="10" t="n"/>
      <c r="E63" s="10" t="n"/>
      <c r="F63" s="10" t="n"/>
    </row>
    <row r="64">
      <c r="A64" s="197" t="n"/>
      <c r="B64" s="10" t="n"/>
      <c r="C64" s="10" t="n"/>
      <c r="D64" s="10" t="n"/>
      <c r="E64" s="10" t="n"/>
      <c r="F64" s="10" t="n"/>
    </row>
    <row r="65">
      <c r="A65" s="197" t="n"/>
      <c r="B65" s="10" t="n"/>
      <c r="C65" s="10" t="n"/>
      <c r="D65" s="10" t="n"/>
      <c r="E65" s="10" t="n"/>
      <c r="F65" s="10" t="n"/>
    </row>
    <row r="66">
      <c r="A66" s="197" t="n"/>
      <c r="B66" s="10" t="n"/>
      <c r="C66" s="10" t="n"/>
      <c r="D66" s="10" t="n"/>
      <c r="E66" s="10" t="n"/>
      <c r="F66" s="10" t="n"/>
    </row>
    <row r="67">
      <c r="A67" s="197" t="n"/>
      <c r="B67" s="10" t="n"/>
      <c r="C67" s="10" t="n"/>
      <c r="D67" s="10" t="n"/>
      <c r="E67" s="10" t="n"/>
      <c r="F67" s="10" t="n"/>
    </row>
    <row r="68">
      <c r="A68" s="197" t="n"/>
      <c r="B68" s="10" t="n"/>
      <c r="C68" s="10" t="n"/>
      <c r="D68" s="10" t="n"/>
      <c r="E68" s="10" t="n"/>
      <c r="F68" s="10" t="n"/>
    </row>
    <row r="69">
      <c r="A69" s="197" t="n"/>
      <c r="B69" s="10" t="n"/>
      <c r="C69" s="10" t="n"/>
      <c r="D69" s="10" t="n"/>
      <c r="E69" s="10" t="n"/>
      <c r="F69" s="10" t="n"/>
    </row>
    <row r="70">
      <c r="A70" s="197" t="n"/>
      <c r="B70" s="10" t="n"/>
      <c r="C70" s="10" t="n"/>
      <c r="D70" s="10" t="n"/>
      <c r="E70" s="10" t="n"/>
      <c r="F70" s="10" t="n"/>
    </row>
    <row r="71">
      <c r="A71" s="197" t="n"/>
      <c r="B71" s="10" t="n"/>
      <c r="C71" s="10" t="n"/>
      <c r="D71" s="10" t="n"/>
      <c r="E71" s="10" t="n"/>
      <c r="F71" s="10" t="n"/>
    </row>
    <row r="72">
      <c r="A72" s="197" t="n"/>
      <c r="B72" s="10" t="n"/>
      <c r="C72" s="10" t="n"/>
      <c r="D72" s="10" t="n"/>
      <c r="E72" s="10" t="n"/>
      <c r="F72" s="10" t="n"/>
    </row>
    <row r="73">
      <c r="A73" s="197" t="n"/>
      <c r="B73" s="10" t="n"/>
      <c r="C73" s="10" t="n"/>
      <c r="D73" s="10" t="n"/>
      <c r="E73" s="10" t="n"/>
      <c r="F73" s="10" t="n"/>
    </row>
    <row r="74">
      <c r="A74" s="197" t="n"/>
      <c r="B74" s="10" t="n"/>
      <c r="C74" s="10" t="n"/>
      <c r="D74" s="10" t="n"/>
      <c r="E74" s="10" t="n"/>
      <c r="F74" s="10" t="n"/>
    </row>
    <row r="75">
      <c r="A75" s="197" t="n"/>
      <c r="B75" s="10" t="n"/>
      <c r="C75" s="10" t="n"/>
      <c r="D75" s="10" t="n"/>
      <c r="E75" s="10" t="n"/>
      <c r="F75" s="10" t="n"/>
    </row>
    <row r="76">
      <c r="A76" s="197" t="n"/>
      <c r="B76" s="10" t="n"/>
      <c r="C76" s="10" t="n"/>
      <c r="D76" s="10" t="n"/>
      <c r="E76" s="10" t="n"/>
      <c r="F76" s="10" t="n"/>
    </row>
    <row r="77">
      <c r="A77" s="197" t="n"/>
      <c r="B77" s="10" t="n"/>
      <c r="C77" s="10" t="n"/>
      <c r="D77" s="10" t="n"/>
      <c r="E77" s="10" t="n"/>
      <c r="F77" s="10" t="n"/>
    </row>
    <row r="78">
      <c r="A78" s="197" t="n"/>
      <c r="B78" s="10" t="n"/>
      <c r="C78" s="10" t="n"/>
      <c r="D78" s="10" t="n"/>
      <c r="E78" s="10" t="n"/>
      <c r="F78" s="10" t="n"/>
    </row>
    <row r="79">
      <c r="A79" s="197" t="n"/>
      <c r="B79" s="10" t="n"/>
      <c r="C79" s="10" t="n"/>
      <c r="D79" s="10" t="n"/>
      <c r="E79" s="10" t="n"/>
      <c r="F79" s="10" t="n"/>
    </row>
    <row r="80">
      <c r="A80" s="197" t="n"/>
      <c r="B80" s="10" t="n"/>
      <c r="C80" s="10" t="n"/>
      <c r="D80" s="10" t="n"/>
      <c r="E80" s="10" t="n"/>
      <c r="F80" s="10" t="n"/>
    </row>
    <row r="81">
      <c r="A81" s="197" t="n"/>
      <c r="B81" s="10" t="n"/>
      <c r="C81" s="10" t="n"/>
      <c r="D81" s="10" t="n"/>
      <c r="E81" s="10" t="n"/>
      <c r="F81" s="10" t="n"/>
    </row>
    <row r="82">
      <c r="A82" s="197" t="n"/>
      <c r="B82" s="10" t="n"/>
      <c r="C82" s="10" t="n"/>
      <c r="D82" s="10" t="n"/>
      <c r="E82" s="10" t="n"/>
      <c r="F82" s="10" t="n"/>
    </row>
    <row r="83">
      <c r="A83" s="197" t="n"/>
      <c r="B83" s="10" t="n"/>
      <c r="C83" s="10" t="n"/>
      <c r="D83" s="10" t="n"/>
      <c r="E83" s="10" t="n"/>
      <c r="F83" s="10" t="n"/>
    </row>
    <row r="84">
      <c r="A84" s="197" t="n"/>
      <c r="B84" s="10" t="n"/>
      <c r="C84" s="10" t="n"/>
      <c r="D84" s="10" t="n"/>
      <c r="E84" s="10" t="n"/>
      <c r="F84" s="10" t="n"/>
    </row>
    <row r="85">
      <c r="A85" s="197" t="n"/>
      <c r="B85" s="10" t="n"/>
      <c r="C85" s="10" t="n"/>
      <c r="D85" s="10" t="n"/>
      <c r="E85" s="10" t="n"/>
      <c r="F85" s="10" t="n"/>
    </row>
    <row r="86">
      <c r="A86" s="197" t="n"/>
      <c r="B86" s="10" t="n"/>
      <c r="C86" s="10" t="n"/>
      <c r="D86" s="10" t="n"/>
      <c r="E86" s="10" t="n"/>
      <c r="F86" s="10" t="n"/>
    </row>
    <row r="87">
      <c r="A87" s="197" t="n"/>
      <c r="B87" s="10" t="n"/>
      <c r="C87" s="10" t="n"/>
      <c r="D87" s="10" t="n"/>
      <c r="E87" s="10" t="n"/>
      <c r="F87" s="10" t="n"/>
    </row>
    <row r="88">
      <c r="A88" s="197" t="n"/>
      <c r="B88" s="10" t="n"/>
      <c r="C88" s="10" t="n"/>
      <c r="D88" s="10" t="n"/>
      <c r="E88" s="10" t="n"/>
      <c r="F88" s="10" t="n"/>
    </row>
    <row r="89">
      <c r="A89" s="197" t="n"/>
      <c r="B89" s="10" t="n"/>
      <c r="C89" s="10" t="n"/>
      <c r="D89" s="10" t="n"/>
      <c r="E89" s="10" t="n"/>
      <c r="F89" s="10" t="n"/>
    </row>
    <row r="90">
      <c r="A90" s="197" t="n"/>
      <c r="B90" s="10" t="n"/>
      <c r="C90" s="10" t="n"/>
      <c r="D90" s="10" t="n"/>
      <c r="E90" s="10" t="n"/>
      <c r="F90" s="10" t="n"/>
    </row>
    <row r="91">
      <c r="A91" s="197" t="n"/>
      <c r="B91" s="10" t="n"/>
      <c r="C91" s="10" t="n"/>
      <c r="D91" s="10" t="n"/>
      <c r="E91" s="10" t="n"/>
      <c r="F91" s="10" t="n"/>
    </row>
    <row r="92">
      <c r="A92" s="197" t="n"/>
      <c r="B92" s="10" t="n"/>
      <c r="C92" s="10" t="n"/>
      <c r="D92" s="10" t="n"/>
      <c r="E92" s="10" t="n"/>
      <c r="F92" s="10" t="n"/>
    </row>
    <row r="93">
      <c r="A93" s="197" t="n"/>
      <c r="B93" s="10" t="n"/>
      <c r="C93" s="10" t="n"/>
      <c r="D93" s="10" t="n"/>
      <c r="E93" s="10" t="n"/>
      <c r="F93" s="10" t="n"/>
    </row>
    <row r="94">
      <c r="A94" s="197" t="n"/>
      <c r="B94" s="10" t="n"/>
      <c r="C94" s="10" t="n"/>
      <c r="D94" s="10" t="n"/>
      <c r="E94" s="10" t="n"/>
      <c r="F94" s="10" t="n"/>
    </row>
    <row r="95">
      <c r="A95" s="197" t="n"/>
      <c r="B95" s="10" t="n"/>
      <c r="C95" s="10" t="n"/>
      <c r="D95" s="10" t="n"/>
      <c r="E95" s="10" t="n"/>
      <c r="F95" s="10" t="n"/>
    </row>
    <row r="96">
      <c r="A96" s="197" t="n"/>
      <c r="B96" s="10" t="n"/>
      <c r="C96" s="10" t="n"/>
      <c r="D96" s="10" t="n"/>
      <c r="E96" s="10" t="n"/>
      <c r="F96" s="10" t="n"/>
    </row>
    <row r="97">
      <c r="A97" s="197" t="n"/>
      <c r="B97" s="10" t="n"/>
      <c r="C97" s="10" t="n"/>
      <c r="D97" s="10" t="n"/>
      <c r="E97" s="10" t="n"/>
      <c r="F97" s="10" t="n"/>
    </row>
    <row r="98">
      <c r="A98" s="197" t="n"/>
      <c r="B98" s="10" t="n"/>
      <c r="C98" s="10" t="n"/>
      <c r="D98" s="10" t="n"/>
      <c r="E98" s="10" t="n"/>
      <c r="F98" s="10" t="n"/>
    </row>
    <row r="99">
      <c r="A99" s="197" t="n"/>
      <c r="B99" s="10" t="n"/>
      <c r="C99" s="10" t="n"/>
      <c r="D99" s="10" t="n"/>
      <c r="E99" s="10" t="n"/>
      <c r="F99" s="10" t="n"/>
    </row>
    <row r="100">
      <c r="A100" s="197" t="n"/>
      <c r="B100" s="10" t="n"/>
      <c r="C100" s="10" t="n"/>
      <c r="D100" s="10" t="n"/>
      <c r="E100" s="10" t="n"/>
      <c r="F100" s="10" t="n"/>
    </row>
    <row r="101">
      <c r="A101" s="197" t="n"/>
      <c r="B101" s="10" t="n"/>
      <c r="C101" s="10" t="n"/>
      <c r="D101" s="10" t="n"/>
      <c r="E101" s="10" t="n"/>
      <c r="F101" s="10" t="n"/>
    </row>
    <row r="102">
      <c r="A102" s="197" t="n"/>
      <c r="B102" s="10" t="n"/>
      <c r="C102" s="10" t="n"/>
      <c r="D102" s="10" t="n"/>
      <c r="E102" s="10" t="n"/>
      <c r="F102" s="10" t="n"/>
    </row>
    <row r="103">
      <c r="A103" s="197" t="n"/>
      <c r="B103" s="10" t="n"/>
      <c r="C103" s="10" t="n"/>
      <c r="D103" s="10" t="n"/>
      <c r="E103" s="10" t="n"/>
      <c r="F103" s="10" t="n"/>
    </row>
    <row r="104">
      <c r="A104" s="197" t="n"/>
      <c r="B104" s="10" t="n"/>
      <c r="C104" s="10" t="n"/>
      <c r="D104" s="10" t="n"/>
      <c r="E104" s="10" t="n"/>
      <c r="F104" s="10" t="n"/>
    </row>
    <row r="105">
      <c r="A105" s="197" t="n"/>
      <c r="B105" s="10" t="n"/>
      <c r="C105" s="10" t="n"/>
      <c r="D105" s="10" t="n"/>
      <c r="E105" s="10" t="n"/>
      <c r="F105" s="10" t="n"/>
    </row>
    <row r="106">
      <c r="A106" s="197" t="n"/>
      <c r="B106" s="10" t="n"/>
      <c r="C106" s="10" t="n"/>
      <c r="D106" s="10" t="n"/>
      <c r="E106" s="10" t="n"/>
      <c r="F106" s="10" t="n"/>
    </row>
    <row r="107">
      <c r="A107" s="197" t="n"/>
      <c r="B107" s="10" t="n"/>
      <c r="C107" s="10" t="n"/>
      <c r="D107" s="10" t="n"/>
      <c r="E107" s="10" t="n"/>
      <c r="F107" s="10" t="n"/>
    </row>
    <row r="108">
      <c r="A108" s="197" t="n"/>
      <c r="B108" s="10" t="n"/>
      <c r="C108" s="10" t="n"/>
      <c r="D108" s="10" t="n"/>
      <c r="E108" s="10" t="n"/>
      <c r="F108" s="10" t="n"/>
    </row>
    <row r="109">
      <c r="A109" s="197" t="n"/>
      <c r="B109" s="10" t="n"/>
      <c r="C109" s="10" t="n"/>
      <c r="D109" s="10" t="n"/>
      <c r="E109" s="10" t="n"/>
      <c r="F109" s="10" t="n"/>
    </row>
    <row r="110">
      <c r="A110" s="197" t="n"/>
      <c r="B110" s="10" t="n"/>
      <c r="C110" s="10" t="n"/>
      <c r="D110" s="10" t="n"/>
      <c r="E110" s="10" t="n"/>
      <c r="F110" s="10" t="n"/>
    </row>
    <row r="111">
      <c r="A111" s="197" t="n"/>
      <c r="B111" s="10" t="n"/>
      <c r="C111" s="10" t="n"/>
      <c r="D111" s="10" t="n"/>
      <c r="E111" s="10" t="n"/>
      <c r="F111" s="10" t="n"/>
    </row>
    <row r="112">
      <c r="A112" s="197" t="n"/>
      <c r="B112" s="10" t="n"/>
      <c r="C112" s="10" t="n"/>
      <c r="D112" s="10" t="n"/>
      <c r="E112" s="10" t="n"/>
      <c r="F112" s="10" t="n"/>
    </row>
    <row r="113">
      <c r="A113" s="197" t="n"/>
      <c r="B113" s="10" t="n"/>
      <c r="C113" s="10" t="n"/>
      <c r="D113" s="10" t="n"/>
      <c r="E113" s="10" t="n"/>
      <c r="F113" s="10" t="n"/>
    </row>
    <row r="114">
      <c r="A114" s="197" t="n"/>
      <c r="B114" s="10" t="n"/>
      <c r="C114" s="10" t="n"/>
      <c r="D114" s="10" t="n"/>
      <c r="E114" s="10" t="n"/>
      <c r="F114" s="10" t="n"/>
    </row>
    <row r="115">
      <c r="A115" s="197" t="n"/>
      <c r="B115" s="10" t="n"/>
      <c r="C115" s="10" t="n"/>
      <c r="D115" s="10" t="n"/>
      <c r="E115" s="10" t="n"/>
      <c r="F115" s="10" t="n"/>
    </row>
    <row r="116">
      <c r="A116" s="197" t="n"/>
      <c r="B116" s="10" t="n"/>
      <c r="C116" s="10" t="n"/>
      <c r="D116" s="10" t="n"/>
      <c r="E116" s="10" t="n"/>
      <c r="F116" s="10" t="n"/>
    </row>
    <row r="117">
      <c r="A117" s="197" t="n"/>
      <c r="B117" s="10" t="n"/>
      <c r="C117" s="10" t="n"/>
      <c r="D117" s="10" t="n"/>
      <c r="E117" s="10" t="n"/>
      <c r="F117" s="10" t="n"/>
    </row>
    <row r="118">
      <c r="A118" s="197" t="n"/>
      <c r="B118" s="10" t="n"/>
      <c r="C118" s="10" t="n"/>
      <c r="D118" s="10" t="n"/>
      <c r="E118" s="10" t="n"/>
      <c r="F118" s="10" t="n"/>
    </row>
    <row r="119">
      <c r="A119" s="197" t="n"/>
      <c r="B119" s="10" t="n"/>
      <c r="C119" s="10" t="n"/>
      <c r="D119" s="10" t="n"/>
      <c r="E119" s="10" t="n"/>
      <c r="F119" s="10" t="n"/>
    </row>
    <row r="120">
      <c r="A120" s="197" t="n"/>
      <c r="B120" s="10" t="n"/>
      <c r="C120" s="10" t="n"/>
      <c r="D120" s="10" t="n"/>
      <c r="E120" s="10" t="n"/>
      <c r="F120" s="10" t="n"/>
    </row>
    <row r="121">
      <c r="A121" s="197" t="n"/>
      <c r="B121" s="10" t="n"/>
      <c r="C121" s="10" t="n"/>
      <c r="D121" s="10" t="n"/>
      <c r="E121" s="10" t="n"/>
      <c r="F121" s="10" t="n"/>
    </row>
    <row r="122">
      <c r="A122" s="197" t="n"/>
      <c r="B122" s="10" t="n"/>
      <c r="C122" s="10" t="n"/>
      <c r="D122" s="10" t="n"/>
      <c r="E122" s="10" t="n"/>
      <c r="F122" s="10" t="n"/>
    </row>
    <row r="123">
      <c r="A123" s="197" t="n"/>
      <c r="B123" s="10" t="n"/>
      <c r="C123" s="10" t="n"/>
      <c r="D123" s="10" t="n"/>
      <c r="E123" s="10" t="n"/>
      <c r="F123" s="10" t="n"/>
    </row>
    <row r="124">
      <c r="A124" s="197" t="n"/>
      <c r="B124" s="10" t="n"/>
      <c r="C124" s="10" t="n"/>
      <c r="D124" s="10" t="n"/>
      <c r="E124" s="10" t="n"/>
      <c r="F124" s="10" t="n"/>
    </row>
    <row r="125">
      <c r="A125" s="197" t="n"/>
      <c r="B125" s="10" t="n"/>
      <c r="C125" s="10" t="n"/>
      <c r="D125" s="10" t="n"/>
      <c r="E125" s="10" t="n"/>
      <c r="F125" s="10" t="n"/>
    </row>
    <row r="126">
      <c r="A126" s="197" t="n"/>
      <c r="B126" s="10" t="n"/>
      <c r="C126" s="10" t="n"/>
      <c r="D126" s="10" t="n"/>
      <c r="E126" s="10" t="n"/>
      <c r="F126" s="10" t="n"/>
    </row>
    <row r="127">
      <c r="A127" s="197" t="n"/>
      <c r="B127" s="10" t="n"/>
      <c r="C127" s="10" t="n"/>
      <c r="D127" s="10" t="n"/>
      <c r="E127" s="10" t="n"/>
      <c r="F127" s="10" t="n"/>
    </row>
    <row r="128">
      <c r="A128" s="197" t="n"/>
      <c r="B128" s="10" t="n"/>
      <c r="C128" s="10" t="n"/>
      <c r="D128" s="10" t="n"/>
      <c r="E128" s="10" t="n"/>
      <c r="F128" s="10" t="n"/>
    </row>
    <row r="129">
      <c r="A129" s="197" t="n"/>
      <c r="B129" s="10" t="n"/>
      <c r="C129" s="10" t="n"/>
      <c r="D129" s="10" t="n"/>
      <c r="E129" s="10" t="n"/>
      <c r="F129" s="10" t="n"/>
    </row>
    <row r="130">
      <c r="A130" s="197" t="n"/>
      <c r="B130" s="10" t="n"/>
      <c r="C130" s="10" t="n"/>
      <c r="D130" s="10" t="n"/>
      <c r="E130" s="10" t="n"/>
      <c r="F130" s="10" t="n"/>
    </row>
    <row r="131">
      <c r="A131" s="197" t="n"/>
      <c r="B131" s="10" t="n"/>
      <c r="C131" s="10" t="n"/>
      <c r="D131" s="10" t="n"/>
      <c r="E131" s="10" t="n"/>
      <c r="F131" s="10" t="n"/>
    </row>
    <row r="132">
      <c r="A132" s="197" t="n"/>
      <c r="B132" s="10" t="n"/>
      <c r="C132" s="10" t="n"/>
      <c r="D132" s="10" t="n"/>
      <c r="E132" s="10" t="n"/>
      <c r="F132" s="10" t="n"/>
    </row>
    <row r="133">
      <c r="A133" s="197" t="n"/>
      <c r="B133" s="10" t="n"/>
      <c r="C133" s="10" t="n"/>
      <c r="D133" s="10" t="n"/>
      <c r="E133" s="10" t="n"/>
      <c r="F133" s="10" t="n"/>
    </row>
    <row r="134">
      <c r="A134" s="197" t="n"/>
      <c r="B134" s="10" t="n"/>
      <c r="C134" s="10" t="n"/>
      <c r="D134" s="10" t="n"/>
      <c r="E134" s="10" t="n"/>
      <c r="F134" s="10" t="n"/>
    </row>
    <row r="135">
      <c r="A135" s="197" t="n"/>
      <c r="B135" s="10" t="n"/>
      <c r="C135" s="10" t="n"/>
      <c r="D135" s="10" t="n"/>
      <c r="E135" s="10" t="n"/>
      <c r="F135" s="10" t="n"/>
    </row>
    <row r="136">
      <c r="A136" s="197" t="n"/>
      <c r="B136" s="10" t="n"/>
      <c r="C136" s="10" t="n"/>
      <c r="D136" s="10" t="n"/>
      <c r="E136" s="10" t="n"/>
      <c r="F136" s="10" t="n"/>
    </row>
    <row r="137">
      <c r="A137" s="197" t="n"/>
      <c r="B137" s="10" t="n"/>
      <c r="C137" s="10" t="n"/>
      <c r="D137" s="10" t="n"/>
      <c r="E137" s="10" t="n"/>
      <c r="F137" s="10" t="n"/>
    </row>
    <row r="138">
      <c r="A138" s="197" t="n"/>
      <c r="B138" s="10" t="n"/>
      <c r="C138" s="10" t="n"/>
      <c r="D138" s="10" t="n"/>
      <c r="E138" s="10" t="n"/>
      <c r="F138" s="10" t="n"/>
    </row>
    <row r="139">
      <c r="A139" s="197" t="n"/>
      <c r="B139" s="10" t="n"/>
      <c r="C139" s="10" t="n"/>
      <c r="D139" s="10" t="n"/>
      <c r="E139" s="10" t="n"/>
      <c r="F139" s="10" t="n"/>
    </row>
    <row r="140">
      <c r="A140" s="197" t="n"/>
      <c r="B140" s="10" t="n"/>
      <c r="C140" s="10" t="n"/>
      <c r="D140" s="10" t="n"/>
      <c r="E140" s="10" t="n"/>
      <c r="F140" s="10" t="n"/>
    </row>
    <row r="141">
      <c r="A141" s="197" t="n"/>
      <c r="B141" s="10" t="n"/>
      <c r="C141" s="10" t="n"/>
      <c r="D141" s="10" t="n"/>
      <c r="E141" s="10" t="n"/>
      <c r="F141" s="10" t="n"/>
    </row>
    <row r="142">
      <c r="A142" s="197" t="n"/>
      <c r="B142" s="10" t="n"/>
      <c r="C142" s="10" t="n"/>
      <c r="D142" s="10" t="n"/>
      <c r="E142" s="10" t="n"/>
      <c r="F142" s="10" t="n"/>
    </row>
    <row r="143">
      <c r="A143" s="197" t="n"/>
      <c r="B143" s="10" t="n"/>
      <c r="C143" s="10" t="n"/>
      <c r="D143" s="10" t="n"/>
      <c r="E143" s="10" t="n"/>
      <c r="F143" s="10" t="n"/>
    </row>
    <row r="144">
      <c r="A144" s="197" t="n"/>
      <c r="B144" s="10" t="n"/>
      <c r="C144" s="10" t="n"/>
      <c r="D144" s="10" t="n"/>
      <c r="E144" s="10" t="n"/>
      <c r="F144" s="10" t="n"/>
    </row>
    <row r="145">
      <c r="A145" s="197" t="n"/>
      <c r="B145" s="10" t="n"/>
      <c r="C145" s="10" t="n"/>
      <c r="D145" s="10" t="n"/>
      <c r="E145" s="10" t="n"/>
      <c r="F145" s="10" t="n"/>
    </row>
    <row r="146">
      <c r="A146" s="197" t="n"/>
      <c r="B146" s="10" t="n"/>
      <c r="C146" s="10" t="n"/>
      <c r="D146" s="10" t="n"/>
      <c r="E146" s="10" t="n"/>
      <c r="F146" s="10" t="n"/>
    </row>
    <row r="147">
      <c r="A147" s="197" t="n"/>
      <c r="B147" s="10" t="n"/>
      <c r="C147" s="10" t="n"/>
      <c r="D147" s="10" t="n"/>
      <c r="E147" s="10" t="n"/>
      <c r="F147" s="10" t="n"/>
    </row>
    <row r="148">
      <c r="A148" s="197" t="n"/>
      <c r="B148" s="10" t="n"/>
      <c r="C148" s="10" t="n"/>
      <c r="D148" s="10" t="n"/>
      <c r="E148" s="10" t="n"/>
      <c r="F148" s="10" t="n"/>
    </row>
    <row r="149">
      <c r="A149" s="197" t="n"/>
      <c r="B149" s="10" t="n"/>
      <c r="C149" s="10" t="n"/>
      <c r="D149" s="10" t="n"/>
      <c r="E149" s="10" t="n"/>
      <c r="F149" s="10" t="n"/>
    </row>
    <row r="150">
      <c r="A150" s="197" t="n"/>
      <c r="B150" s="10" t="n"/>
      <c r="C150" s="10" t="n"/>
      <c r="D150" s="10" t="n"/>
      <c r="E150" s="10" t="n"/>
      <c r="F150" s="10" t="n"/>
    </row>
    <row r="151">
      <c r="A151" s="197" t="n"/>
      <c r="B151" s="10" t="n"/>
      <c r="C151" s="10" t="n"/>
      <c r="D151" s="10" t="n"/>
      <c r="E151" s="10" t="n"/>
      <c r="F151" s="10" t="n"/>
    </row>
    <row r="152">
      <c r="A152" s="197" t="n"/>
      <c r="B152" s="10" t="n"/>
      <c r="C152" s="10" t="n"/>
      <c r="D152" s="10" t="n"/>
      <c r="E152" s="10" t="n"/>
      <c r="F152" s="10" t="n"/>
    </row>
    <row r="153">
      <c r="A153" s="197" t="n"/>
      <c r="B153" s="10" t="n"/>
      <c r="C153" s="10" t="n"/>
      <c r="D153" s="10" t="n"/>
      <c r="E153" s="10" t="n"/>
      <c r="F153" s="10" t="n"/>
    </row>
    <row r="154">
      <c r="A154" s="197" t="n"/>
      <c r="B154" s="10" t="n"/>
      <c r="C154" s="10" t="n"/>
      <c r="D154" s="10" t="n"/>
      <c r="E154" s="10" t="n"/>
      <c r="F154" s="10" t="n"/>
    </row>
    <row r="155">
      <c r="A155" s="197" t="n"/>
      <c r="B155" s="10" t="n"/>
      <c r="C155" s="10" t="n"/>
      <c r="D155" s="10" t="n"/>
      <c r="E155" s="10" t="n"/>
      <c r="F155" s="10" t="n"/>
    </row>
    <row r="156">
      <c r="A156" s="197" t="n"/>
      <c r="B156" s="10" t="n"/>
      <c r="C156" s="10" t="n"/>
      <c r="D156" s="10" t="n"/>
      <c r="E156" s="10" t="n"/>
      <c r="F156" s="10" t="n"/>
    </row>
    <row r="157">
      <c r="A157" s="197" t="n"/>
      <c r="B157" s="10" t="n"/>
      <c r="C157" s="10" t="n"/>
      <c r="D157" s="10" t="n"/>
      <c r="E157" s="10" t="n"/>
      <c r="F157" s="10" t="n"/>
    </row>
    <row r="158">
      <c r="A158" s="197" t="n"/>
      <c r="B158" s="10" t="n"/>
      <c r="C158" s="10" t="n"/>
      <c r="D158" s="10" t="n"/>
      <c r="E158" s="10" t="n"/>
      <c r="F158" s="10" t="n"/>
    </row>
    <row r="159">
      <c r="A159" s="197" t="n"/>
      <c r="B159" s="10" t="n"/>
      <c r="C159" s="10" t="n"/>
      <c r="D159" s="10" t="n"/>
      <c r="E159" s="10" t="n"/>
      <c r="F159" s="10" t="n"/>
    </row>
    <row r="160">
      <c r="A160" s="197" t="n"/>
      <c r="B160" s="10" t="n"/>
      <c r="C160" s="10" t="n"/>
      <c r="D160" s="10" t="n"/>
      <c r="E160" s="10" t="n"/>
      <c r="F160" s="10" t="n"/>
    </row>
    <row r="161">
      <c r="A161" s="197" t="n"/>
      <c r="B161" s="10" t="n"/>
      <c r="C161" s="10" t="n"/>
      <c r="D161" s="10" t="n"/>
      <c r="E161" s="10" t="n"/>
      <c r="F161" s="10" t="n"/>
    </row>
    <row r="162">
      <c r="A162" s="197" t="n"/>
      <c r="B162" s="10" t="n"/>
      <c r="C162" s="10" t="n"/>
      <c r="D162" s="10" t="n"/>
      <c r="E162" s="10" t="n"/>
      <c r="F162" s="10" t="n"/>
    </row>
    <row r="163">
      <c r="A163" s="197" t="n"/>
      <c r="B163" s="10" t="n"/>
      <c r="C163" s="10" t="n"/>
      <c r="D163" s="10" t="n"/>
      <c r="E163" s="10" t="n"/>
      <c r="F163" s="10" t="n"/>
    </row>
    <row r="164">
      <c r="A164" s="197" t="n"/>
      <c r="B164" s="10" t="n"/>
      <c r="C164" s="10" t="n"/>
      <c r="D164" s="10" t="n"/>
      <c r="E164" s="10" t="n"/>
      <c r="F164" s="10" t="n"/>
    </row>
    <row r="165">
      <c r="A165" s="197" t="n"/>
      <c r="B165" s="10" t="n"/>
      <c r="C165" s="10" t="n"/>
      <c r="D165" s="10" t="n"/>
      <c r="E165" s="10" t="n"/>
      <c r="F165" s="10" t="n"/>
    </row>
    <row r="166">
      <c r="A166" s="197" t="n"/>
      <c r="B166" s="10" t="n"/>
      <c r="C166" s="10" t="n"/>
      <c r="D166" s="10" t="n"/>
      <c r="E166" s="10" t="n"/>
      <c r="F166" s="10" t="n"/>
    </row>
    <row r="167">
      <c r="A167" s="197" t="n"/>
      <c r="B167" s="10" t="n"/>
      <c r="C167" s="10" t="n"/>
      <c r="D167" s="10" t="n"/>
      <c r="E167" s="10" t="n"/>
      <c r="F167" s="10" t="n"/>
    </row>
    <row r="168">
      <c r="A168" s="197" t="n"/>
      <c r="B168" s="10" t="n"/>
      <c r="C168" s="10" t="n"/>
      <c r="D168" s="10" t="n"/>
      <c r="E168" s="10" t="n"/>
      <c r="F168" s="10" t="n"/>
    </row>
    <row r="169">
      <c r="A169" s="197" t="n"/>
      <c r="B169" s="10" t="n"/>
      <c r="C169" s="10" t="n"/>
      <c r="D169" s="10" t="n"/>
      <c r="E169" s="10" t="n"/>
      <c r="F169" s="10" t="n"/>
    </row>
    <row r="170">
      <c r="A170" s="197" t="n"/>
      <c r="B170" s="10" t="n"/>
      <c r="C170" s="10" t="n"/>
      <c r="D170" s="10" t="n"/>
      <c r="E170" s="10" t="n"/>
      <c r="F170" s="10" t="n"/>
    </row>
    <row r="171">
      <c r="A171" s="197" t="n"/>
      <c r="B171" s="10" t="n"/>
      <c r="C171" s="10" t="n"/>
      <c r="D171" s="10" t="n"/>
      <c r="E171" s="10" t="n"/>
      <c r="F171" s="10" t="n"/>
    </row>
    <row r="172">
      <c r="A172" s="197" t="n"/>
      <c r="B172" s="10" t="n"/>
      <c r="C172" s="10" t="n"/>
      <c r="D172" s="10" t="n"/>
      <c r="E172" s="10" t="n"/>
      <c r="F172" s="10" t="n"/>
    </row>
    <row r="173">
      <c r="A173" s="197" t="n"/>
      <c r="B173" s="10" t="n"/>
      <c r="C173" s="10" t="n"/>
      <c r="D173" s="10" t="n"/>
      <c r="E173" s="10" t="n"/>
      <c r="F173" s="10" t="n"/>
    </row>
    <row r="174">
      <c r="A174" s="197" t="n"/>
      <c r="B174" s="10" t="n"/>
      <c r="C174" s="10" t="n"/>
      <c r="D174" s="10" t="n"/>
      <c r="E174" s="10" t="n"/>
      <c r="F174" s="10" t="n"/>
    </row>
    <row r="175">
      <c r="A175" s="197" t="n"/>
      <c r="B175" s="10" t="n"/>
      <c r="C175" s="10" t="n"/>
      <c r="D175" s="10" t="n"/>
      <c r="E175" s="10" t="n"/>
      <c r="F175" s="10" t="n"/>
    </row>
    <row r="176">
      <c r="A176" s="197" t="n"/>
      <c r="B176" s="10" t="n"/>
      <c r="C176" s="10" t="n"/>
      <c r="D176" s="10" t="n"/>
      <c r="E176" s="10" t="n"/>
      <c r="F176" s="10" t="n"/>
    </row>
    <row r="177">
      <c r="A177" s="197" t="n"/>
      <c r="B177" s="10" t="n"/>
      <c r="C177" s="10" t="n"/>
      <c r="D177" s="10" t="n"/>
      <c r="E177" s="10" t="n"/>
      <c r="F177" s="10" t="n"/>
    </row>
    <row r="178">
      <c r="A178" s="197" t="n"/>
      <c r="B178" s="10" t="n"/>
      <c r="C178" s="10" t="n"/>
      <c r="D178" s="10" t="n"/>
      <c r="E178" s="10" t="n"/>
      <c r="F178" s="10" t="n"/>
    </row>
    <row r="179">
      <c r="A179" s="197" t="n"/>
      <c r="B179" s="10" t="n"/>
      <c r="C179" s="10" t="n"/>
      <c r="D179" s="10" t="n"/>
      <c r="E179" s="10" t="n"/>
      <c r="F179" s="10" t="n"/>
    </row>
    <row r="180">
      <c r="A180" s="197" t="n"/>
      <c r="B180" s="10" t="n"/>
      <c r="C180" s="10" t="n"/>
      <c r="D180" s="10" t="n"/>
      <c r="E180" s="10" t="n"/>
      <c r="F180" s="10" t="n"/>
    </row>
    <row r="181">
      <c r="A181" s="197" t="n"/>
      <c r="B181" s="10" t="n"/>
      <c r="C181" s="10" t="n"/>
      <c r="D181" s="10" t="n"/>
      <c r="E181" s="10" t="n"/>
      <c r="F181" s="10" t="n"/>
    </row>
    <row r="182">
      <c r="A182" s="197" t="n"/>
      <c r="B182" s="10" t="n"/>
      <c r="C182" s="10" t="n"/>
      <c r="D182" s="10" t="n"/>
      <c r="E182" s="10" t="n"/>
      <c r="F182" s="10" t="n"/>
    </row>
    <row r="183">
      <c r="A183" s="197" t="n"/>
      <c r="B183" s="10" t="n"/>
      <c r="C183" s="10" t="n"/>
      <c r="D183" s="10" t="n"/>
      <c r="E183" s="10" t="n"/>
      <c r="F183" s="10" t="n"/>
    </row>
    <row r="184">
      <c r="A184" s="197" t="n"/>
      <c r="B184" s="10" t="n"/>
      <c r="C184" s="10" t="n"/>
      <c r="D184" s="10" t="n"/>
      <c r="E184" s="10" t="n"/>
      <c r="F184" s="10" t="n"/>
    </row>
    <row r="185">
      <c r="A185" s="197" t="n"/>
      <c r="B185" s="10" t="n"/>
      <c r="C185" s="10" t="n"/>
      <c r="D185" s="10" t="n"/>
      <c r="E185" s="10" t="n"/>
      <c r="F185" s="10" t="n"/>
    </row>
    <row r="186">
      <c r="A186" s="197" t="n"/>
      <c r="B186" s="10" t="n"/>
      <c r="C186" s="10" t="n"/>
      <c r="D186" s="10" t="n"/>
      <c r="E186" s="10" t="n"/>
      <c r="F186" s="10" t="n"/>
    </row>
    <row r="187">
      <c r="A187" s="197" t="n"/>
      <c r="B187" s="10" t="n"/>
      <c r="C187" s="10" t="n"/>
      <c r="D187" s="10" t="n"/>
      <c r="E187" s="10" t="n"/>
      <c r="F187" s="10" t="n"/>
    </row>
    <row r="188">
      <c r="A188" s="197" t="n"/>
      <c r="B188" s="10" t="n"/>
      <c r="C188" s="10" t="n"/>
      <c r="D188" s="10" t="n"/>
      <c r="E188" s="10" t="n"/>
      <c r="F188" s="10" t="n"/>
    </row>
    <row r="189">
      <c r="A189" s="197" t="n"/>
      <c r="B189" s="10" t="n"/>
      <c r="C189" s="10" t="n"/>
      <c r="D189" s="10" t="n"/>
      <c r="E189" s="10" t="n"/>
      <c r="F189" s="10" t="n"/>
    </row>
    <row r="190">
      <c r="A190" s="197" t="n"/>
      <c r="B190" s="10" t="n"/>
      <c r="C190" s="10" t="n"/>
      <c r="D190" s="10" t="n"/>
      <c r="E190" s="10" t="n"/>
      <c r="F190" s="10" t="n"/>
    </row>
    <row r="191">
      <c r="A191" s="197" t="n"/>
      <c r="B191" s="10" t="n"/>
      <c r="C191" s="10" t="n"/>
      <c r="D191" s="10" t="n"/>
      <c r="E191" s="10" t="n"/>
      <c r="F191" s="10" t="n"/>
    </row>
    <row r="192">
      <c r="A192" s="197" t="n"/>
      <c r="B192" s="10" t="n"/>
      <c r="C192" s="10" t="n"/>
      <c r="D192" s="10" t="n"/>
      <c r="E192" s="10" t="n"/>
      <c r="F192" s="10" t="n"/>
    </row>
    <row r="193">
      <c r="A193" s="197" t="n"/>
      <c r="B193" s="10" t="n"/>
      <c r="C193" s="10" t="n"/>
      <c r="D193" s="10" t="n"/>
      <c r="E193" s="10" t="n"/>
      <c r="F193" s="10" t="n"/>
    </row>
    <row r="194">
      <c r="A194" s="197" t="n"/>
      <c r="B194" s="10" t="n"/>
      <c r="C194" s="10" t="n"/>
      <c r="D194" s="10" t="n"/>
      <c r="E194" s="10" t="n"/>
      <c r="F194" s="10" t="n"/>
    </row>
    <row r="195">
      <c r="A195" s="197" t="n"/>
      <c r="B195" s="10" t="n"/>
      <c r="C195" s="10" t="n"/>
      <c r="D195" s="10" t="n"/>
      <c r="E195" s="10" t="n"/>
      <c r="F195" s="10" t="n"/>
    </row>
    <row r="196">
      <c r="A196" s="197" t="n"/>
      <c r="B196" s="10" t="n"/>
      <c r="C196" s="10" t="n"/>
      <c r="D196" s="10" t="n"/>
      <c r="E196" s="10" t="n"/>
      <c r="F196" s="10" t="n"/>
    </row>
    <row r="197">
      <c r="A197" s="197" t="n"/>
      <c r="B197" s="10" t="n"/>
      <c r="C197" s="10" t="n"/>
      <c r="D197" s="10" t="n"/>
      <c r="E197" s="10" t="n"/>
      <c r="F197" s="10" t="n"/>
    </row>
    <row r="198">
      <c r="A198" s="197" t="n"/>
      <c r="B198" s="10" t="n"/>
      <c r="C198" s="10" t="n"/>
      <c r="D198" s="10" t="n"/>
      <c r="E198" s="10" t="n"/>
      <c r="F198" s="10" t="n"/>
    </row>
    <row r="199">
      <c r="A199" s="197" t="n"/>
      <c r="B199" s="10" t="n"/>
      <c r="C199" s="10" t="n"/>
      <c r="D199" s="10" t="n"/>
      <c r="E199" s="10" t="n"/>
      <c r="F199" s="10" t="n"/>
    </row>
    <row r="200">
      <c r="A200" s="197" t="n"/>
      <c r="B200" s="10" t="n"/>
      <c r="C200" s="10" t="n"/>
      <c r="D200" s="10" t="n"/>
      <c r="E200" s="10" t="n"/>
      <c r="F200" s="10" t="n"/>
    </row>
  </sheetData>
  <hyperlinks>
    <hyperlink xmlns:r="http://schemas.openxmlformats.org/officeDocument/2006/relationships"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2026-06-01T12:11:44Z</dcterms:created>
  <dcterms:modified xsi:type="dcterms:W3CDTF">2026-09-01T13:25:13Z</dcterms:modified>
  <cp:lastModifiedBy>Teerachate Watcharanart</cp:lastModifiedBy>
  <cp:lastPrinted>2026-06-05T04:43:01Z</cp:lastPrinted>
</cp:coreProperties>
</file>